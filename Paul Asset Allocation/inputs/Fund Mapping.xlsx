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levenger\Desktop\Paul Asset Allocation\inputs\"/>
    </mc:Choice>
  </mc:AlternateContent>
  <xr:revisionPtr revIDLastSave="0" documentId="13_ncr:1_{CD4A4FFD-AED2-4D00-A039-A9B76D1BCEBC}" xr6:coauthVersionLast="47" xr6:coauthVersionMax="47" xr10:uidLastSave="{00000000-0000-0000-0000-000000000000}"/>
  <bookViews>
    <workbookView xWindow="4875" yWindow="945" windowWidth="21615" windowHeight="14910" xr2:uid="{024060E7-508A-4828-BE3B-D4E1FF20B32E}"/>
  </bookViews>
  <sheets>
    <sheet name="Fidelity" sheetId="2" r:id="rId1"/>
    <sheet name="Schwab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2" i="2" l="1"/>
  <c r="B21" i="2"/>
  <c r="B19" i="2"/>
  <c r="B18" i="2"/>
</calcChain>
</file>

<file path=xl/sharedStrings.xml><?xml version="1.0" encoding="utf-8"?>
<sst xmlns="http://schemas.openxmlformats.org/spreadsheetml/2006/main" count="81" uniqueCount="41">
  <si>
    <t>IVV</t>
  </si>
  <si>
    <t>Large Cap</t>
  </si>
  <si>
    <t>VOO</t>
  </si>
  <si>
    <t>SPYM</t>
  </si>
  <si>
    <t>IJH</t>
  </si>
  <si>
    <t>Mid Cap</t>
  </si>
  <si>
    <t>VO</t>
  </si>
  <si>
    <t>IEFA</t>
  </si>
  <si>
    <t>International</t>
  </si>
  <si>
    <t>SPHQ</t>
  </si>
  <si>
    <t>CGDV</t>
  </si>
  <si>
    <t>FENI</t>
  </si>
  <si>
    <t>AVDE</t>
  </si>
  <si>
    <t>QINT</t>
  </si>
  <si>
    <t>FIGB</t>
  </si>
  <si>
    <t>IIGD</t>
  </si>
  <si>
    <t>FLTB</t>
  </si>
  <si>
    <t>SWSBX</t>
  </si>
  <si>
    <t>Equities - Index (Passive)</t>
  </si>
  <si>
    <t>Equities - Advisor (Active)</t>
  </si>
  <si>
    <t>Fixed Income - Intermediate (Passive)</t>
  </si>
  <si>
    <t>Fixed Income - Advisor</t>
  </si>
  <si>
    <t xml:space="preserve">FDSVX </t>
  </si>
  <si>
    <t xml:space="preserve">FGRIX </t>
  </si>
  <si>
    <t>FIKQX</t>
  </si>
  <si>
    <t>FTHRX</t>
  </si>
  <si>
    <t>FIKRX</t>
  </si>
  <si>
    <t xml:space="preserve">FNSOX </t>
  </si>
  <si>
    <t xml:space="preserve">Small Cap </t>
  </si>
  <si>
    <t>US Value</t>
  </si>
  <si>
    <t xml:space="preserve">US Growth </t>
  </si>
  <si>
    <t>US Income</t>
  </si>
  <si>
    <t>US Quality</t>
  </si>
  <si>
    <t>Int. Developed</t>
  </si>
  <si>
    <t>Emerging Markets</t>
  </si>
  <si>
    <t>US Short TSY</t>
  </si>
  <si>
    <t>US Intermediate TSY</t>
  </si>
  <si>
    <t>US Long TSY</t>
  </si>
  <si>
    <t>Inv. Grade Corporate</t>
  </si>
  <si>
    <t>High Yield</t>
  </si>
  <si>
    <t>International FI(H)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</si>
</sst>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b/>
      <sz val="12"/>
      <color rgb="FF333333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10" fontId="0" fillId="0" borderId="0" xfId="0" applyNumberFormat="1"/>
    <xf numFmtId="164" fontId="2" fillId="0" borderId="0" xfId="0" applyNumberFormat="1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788EE-C73A-4E78-B0C5-2776A36D776E}">
  <dimension ref="A1:K22"/>
  <sheetViews>
    <sheetView tabSelected="1" workbookViewId="0">
      <selection activeCell="A17" sqref="A17"/>
    </sheetView>
  </sheetViews>
  <sheetFormatPr defaultRowHeight="15" x14ac:dyDescent="0.25"/>
  <cols>
    <col min="1" max="1" width="17.42578125" customWidth="1"/>
    <col min="2" max="2" width="24" customWidth="1"/>
    <col min="3" max="3" width="13.140625" customWidth="1"/>
    <col min="4" max="4" width="14.7109375" customWidth="1"/>
    <col min="5" max="5" width="15.7109375" customWidth="1"/>
    <col min="6" max="6" width="18.5703125" customWidth="1"/>
    <col min="7" max="7" width="10.85546875" customWidth="1"/>
    <col min="8" max="8" width="17" customWidth="1"/>
    <col min="9" max="9" width="10.7109375" customWidth="1"/>
    <col min="10" max="10" width="14.42578125" customWidth="1"/>
    <col min="11" max="11" width="16.85546875" customWidth="1"/>
    <col min="13" max="13" width="14" customWidth="1"/>
    <col min="14" max="14" width="11.42578125" customWidth="1"/>
    <col min="15" max="15" width="18.28515625" customWidth="1"/>
    <col min="16" max="16" width="12" customWidth="1"/>
  </cols>
  <sheetData>
    <row r="1" spans="1:11" ht="15.75" x14ac:dyDescent="0.25">
      <c r="A1" s="4" t="s">
        <v>18</v>
      </c>
      <c r="B1" s="3"/>
      <c r="C1" t="s">
        <v>1</v>
      </c>
      <c r="D1" t="s">
        <v>5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ht="15.75" x14ac:dyDescent="0.25">
      <c r="A2" s="1" t="s">
        <v>0</v>
      </c>
      <c r="B2" s="8"/>
      <c r="C2" s="6">
        <v>0.8</v>
      </c>
      <c r="D2" s="6">
        <v>0.19</v>
      </c>
      <c r="E2" s="6">
        <v>0.01</v>
      </c>
    </row>
    <row r="3" spans="1:11" ht="15.75" x14ac:dyDescent="0.25">
      <c r="A3" s="1" t="s">
        <v>2</v>
      </c>
      <c r="B3" s="8"/>
      <c r="C3" s="6">
        <v>0.8</v>
      </c>
      <c r="D3" s="6">
        <v>0.19</v>
      </c>
      <c r="E3" s="6">
        <v>0.01</v>
      </c>
    </row>
    <row r="4" spans="1:11" ht="15.75" x14ac:dyDescent="0.25">
      <c r="A4" s="1" t="s">
        <v>3</v>
      </c>
      <c r="B4" s="8"/>
      <c r="C4" s="6">
        <v>0.8</v>
      </c>
      <c r="D4" s="6">
        <v>0.19</v>
      </c>
      <c r="E4" s="6">
        <v>0.01</v>
      </c>
    </row>
    <row r="5" spans="1:11" ht="15.75" x14ac:dyDescent="0.25">
      <c r="A5" s="1" t="s">
        <v>4</v>
      </c>
      <c r="B5" s="8"/>
      <c r="C5" s="6"/>
      <c r="D5" s="6">
        <v>0.35</v>
      </c>
      <c r="E5" s="6">
        <v>0.65</v>
      </c>
    </row>
    <row r="6" spans="1:11" ht="15.75" x14ac:dyDescent="0.25">
      <c r="A6" s="1" t="s">
        <v>6</v>
      </c>
      <c r="B6" s="8"/>
      <c r="C6" s="6">
        <v>0.11</v>
      </c>
      <c r="D6" s="6">
        <v>0.87</v>
      </c>
      <c r="E6" s="7">
        <v>5.0000000000000001E-3</v>
      </c>
      <c r="J6" s="7">
        <v>1.4999999999999999E-2</v>
      </c>
    </row>
    <row r="7" spans="1:11" ht="15.75" x14ac:dyDescent="0.25">
      <c r="A7" s="1" t="s">
        <v>7</v>
      </c>
      <c r="B7" s="8"/>
      <c r="J7" s="6">
        <v>1</v>
      </c>
      <c r="K7" s="6">
        <v>0</v>
      </c>
    </row>
    <row r="8" spans="1:11" ht="15.75" x14ac:dyDescent="0.25">
      <c r="A8" s="5" t="s">
        <v>19</v>
      </c>
      <c r="B8" s="2"/>
    </row>
    <row r="9" spans="1:11" ht="15.75" x14ac:dyDescent="0.25">
      <c r="A9" s="1" t="s">
        <v>22</v>
      </c>
      <c r="B9" s="8"/>
      <c r="G9" s="6">
        <v>1</v>
      </c>
    </row>
    <row r="10" spans="1:11" ht="15.75" x14ac:dyDescent="0.25">
      <c r="A10" s="1" t="s">
        <v>23</v>
      </c>
      <c r="B10" s="8"/>
      <c r="F10" s="6"/>
      <c r="G10" s="6"/>
      <c r="H10" s="6">
        <v>1</v>
      </c>
    </row>
    <row r="11" spans="1:11" ht="15.75" x14ac:dyDescent="0.25">
      <c r="A11" s="1" t="s">
        <v>9</v>
      </c>
      <c r="B11" s="8"/>
      <c r="I11" s="6">
        <v>1</v>
      </c>
    </row>
    <row r="12" spans="1:11" ht="15.75" x14ac:dyDescent="0.25">
      <c r="A12" s="1" t="s">
        <v>10</v>
      </c>
      <c r="B12" s="8"/>
      <c r="F12" s="6">
        <v>1</v>
      </c>
      <c r="G12" s="6"/>
      <c r="H12" s="6"/>
    </row>
    <row r="13" spans="1:11" ht="15.75" x14ac:dyDescent="0.25">
      <c r="A13" s="1" t="s">
        <v>11</v>
      </c>
      <c r="B13" s="8"/>
      <c r="J13" s="6">
        <v>1</v>
      </c>
      <c r="K13" s="6">
        <v>0</v>
      </c>
    </row>
    <row r="14" spans="1:11" ht="15.75" x14ac:dyDescent="0.25">
      <c r="A14" s="1" t="s">
        <v>12</v>
      </c>
      <c r="B14" s="8"/>
      <c r="J14" s="6">
        <v>1</v>
      </c>
    </row>
    <row r="15" spans="1:11" ht="15.75" x14ac:dyDescent="0.25">
      <c r="A15" s="1" t="s">
        <v>13</v>
      </c>
      <c r="B15" s="8"/>
      <c r="J15" s="6">
        <v>1</v>
      </c>
      <c r="K15" s="6">
        <v>0</v>
      </c>
    </row>
    <row r="16" spans="1:11" ht="15.75" x14ac:dyDescent="0.25">
      <c r="A16" s="1"/>
      <c r="B16" s="1"/>
    </row>
    <row r="17" spans="1:8" ht="15.75" x14ac:dyDescent="0.25">
      <c r="A17" s="4" t="s">
        <v>20</v>
      </c>
      <c r="B17" s="3"/>
      <c r="C17" t="s">
        <v>35</v>
      </c>
      <c r="D17" t="s">
        <v>36</v>
      </c>
      <c r="E17" t="s">
        <v>37</v>
      </c>
      <c r="F17" t="s">
        <v>38</v>
      </c>
      <c r="G17" t="s">
        <v>39</v>
      </c>
      <c r="H17" t="s">
        <v>40</v>
      </c>
    </row>
    <row r="18" spans="1:8" ht="15.75" x14ac:dyDescent="0.25">
      <c r="A18" s="1" t="s">
        <v>24</v>
      </c>
      <c r="B18" s="9">
        <f>SUM(C18:H18)</f>
        <v>1</v>
      </c>
      <c r="C18" s="6">
        <v>0.26</v>
      </c>
      <c r="D18" s="6">
        <v>0.4</v>
      </c>
      <c r="F18" s="6">
        <v>0.24</v>
      </c>
      <c r="G18" s="6">
        <v>7.0000000000000007E-2</v>
      </c>
      <c r="H18" s="6">
        <v>0.03</v>
      </c>
    </row>
    <row r="19" spans="1:8" ht="15.75" x14ac:dyDescent="0.25">
      <c r="A19" s="1" t="s">
        <v>25</v>
      </c>
      <c r="B19" s="9">
        <f>SUM(C19:H19)</f>
        <v>1</v>
      </c>
      <c r="C19" s="6">
        <v>0.5</v>
      </c>
      <c r="D19" s="6">
        <v>7.0000000000000007E-2</v>
      </c>
      <c r="F19" s="6">
        <v>0.4</v>
      </c>
      <c r="G19" s="6">
        <v>0.03</v>
      </c>
    </row>
    <row r="20" spans="1:8" ht="15.75" x14ac:dyDescent="0.25">
      <c r="A20" s="5" t="s">
        <v>21</v>
      </c>
      <c r="B20" s="2"/>
    </row>
    <row r="21" spans="1:8" ht="15.75" x14ac:dyDescent="0.25">
      <c r="A21" s="1" t="s">
        <v>26</v>
      </c>
      <c r="B21" s="9">
        <f>SUM(C21:H21)</f>
        <v>0.99999999999999989</v>
      </c>
      <c r="C21" s="6">
        <v>0.2</v>
      </c>
      <c r="F21" s="6">
        <v>0.7</v>
      </c>
      <c r="G21" s="6">
        <v>0.1</v>
      </c>
    </row>
    <row r="22" spans="1:8" ht="15.75" x14ac:dyDescent="0.25">
      <c r="A22" s="1" t="s">
        <v>27</v>
      </c>
      <c r="B22" s="9">
        <f>SUM(C22:H22)</f>
        <v>1</v>
      </c>
      <c r="C22" s="6">
        <v>0.7</v>
      </c>
      <c r="D22" s="6">
        <v>0.01</v>
      </c>
      <c r="F22" s="6">
        <v>0.28000000000000003</v>
      </c>
      <c r="H22" s="6">
        <v>0.01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F71B-AEC1-4CE4-B52B-EF25DCF75652}">
  <dimension ref="A1:K20"/>
  <sheetViews>
    <sheetView workbookViewId="0">
      <selection activeCell="I12" sqref="I12"/>
    </sheetView>
  </sheetViews>
  <sheetFormatPr defaultRowHeight="15" x14ac:dyDescent="0.25"/>
  <cols>
    <col min="2" max="2" width="35.140625" customWidth="1"/>
  </cols>
  <sheetData>
    <row r="1" spans="1:11" ht="15.75" x14ac:dyDescent="0.25">
      <c r="A1" s="4" t="s">
        <v>18</v>
      </c>
      <c r="B1" s="3"/>
      <c r="C1" t="s">
        <v>1</v>
      </c>
      <c r="D1" t="s">
        <v>5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</row>
    <row r="2" spans="1:11" ht="15.75" x14ac:dyDescent="0.25">
      <c r="A2" s="1" t="s">
        <v>0</v>
      </c>
      <c r="B2" s="1" t="s">
        <v>1</v>
      </c>
      <c r="C2" s="6">
        <v>0.8</v>
      </c>
      <c r="D2" s="6">
        <v>0.19</v>
      </c>
      <c r="E2" s="6">
        <v>0.01</v>
      </c>
    </row>
    <row r="3" spans="1:11" ht="15.75" x14ac:dyDescent="0.25">
      <c r="A3" s="1" t="s">
        <v>2</v>
      </c>
      <c r="B3" s="1" t="s">
        <v>1</v>
      </c>
      <c r="C3" s="6">
        <v>0.8</v>
      </c>
      <c r="D3" s="6">
        <v>0.19</v>
      </c>
      <c r="E3" s="6">
        <v>0.01</v>
      </c>
    </row>
    <row r="4" spans="1:11" ht="15.75" x14ac:dyDescent="0.25">
      <c r="A4" s="1" t="s">
        <v>3</v>
      </c>
      <c r="B4" s="1" t="s">
        <v>1</v>
      </c>
      <c r="C4" s="6">
        <v>0.8</v>
      </c>
      <c r="D4" s="6">
        <v>0.19</v>
      </c>
      <c r="E4" s="6">
        <v>0.01</v>
      </c>
    </row>
    <row r="5" spans="1:11" ht="15.75" x14ac:dyDescent="0.25">
      <c r="A5" s="1" t="s">
        <v>4</v>
      </c>
      <c r="B5" s="1" t="s">
        <v>5</v>
      </c>
      <c r="C5" s="6"/>
      <c r="D5" s="6">
        <v>0.35</v>
      </c>
      <c r="E5" s="6">
        <v>0.65</v>
      </c>
    </row>
    <row r="6" spans="1:11" ht="15.75" x14ac:dyDescent="0.25">
      <c r="A6" s="1" t="s">
        <v>6</v>
      </c>
      <c r="B6" s="1" t="s">
        <v>5</v>
      </c>
      <c r="C6" s="6">
        <v>0.11</v>
      </c>
      <c r="D6" s="6">
        <v>0.87</v>
      </c>
      <c r="E6" s="7">
        <v>5.0000000000000001E-3</v>
      </c>
      <c r="J6" s="7">
        <v>1.4999999999999999E-2</v>
      </c>
    </row>
    <row r="7" spans="1:11" ht="15.75" x14ac:dyDescent="0.25">
      <c r="A7" s="1" t="s">
        <v>7</v>
      </c>
      <c r="B7" s="1" t="s">
        <v>8</v>
      </c>
      <c r="J7" s="6">
        <v>1</v>
      </c>
      <c r="K7" s="6">
        <v>0</v>
      </c>
    </row>
    <row r="8" spans="1:11" ht="15.75" x14ac:dyDescent="0.25">
      <c r="A8" s="5" t="s">
        <v>19</v>
      </c>
      <c r="B8" s="2"/>
    </row>
    <row r="9" spans="1:11" ht="15.75" x14ac:dyDescent="0.25">
      <c r="A9" s="10" t="s">
        <v>9</v>
      </c>
      <c r="B9" s="1" t="s">
        <v>1</v>
      </c>
      <c r="F9" s="13">
        <v>0.25</v>
      </c>
      <c r="G9" s="6">
        <v>0.25</v>
      </c>
      <c r="H9" s="13">
        <v>0.25</v>
      </c>
      <c r="I9" s="6">
        <v>0.25</v>
      </c>
    </row>
    <row r="10" spans="1:11" ht="15.75" x14ac:dyDescent="0.25">
      <c r="A10" s="1" t="s">
        <v>10</v>
      </c>
      <c r="B10" s="8" t="s">
        <v>1</v>
      </c>
      <c r="F10" s="13">
        <v>0.25</v>
      </c>
      <c r="G10" s="6">
        <v>0.25</v>
      </c>
      <c r="H10" s="13">
        <v>0.25</v>
      </c>
      <c r="I10" s="6">
        <v>0.25</v>
      </c>
    </row>
    <row r="11" spans="1:11" ht="15.75" x14ac:dyDescent="0.25">
      <c r="A11" s="1" t="s">
        <v>11</v>
      </c>
      <c r="B11" s="1" t="s">
        <v>8</v>
      </c>
      <c r="J11" s="6">
        <v>1</v>
      </c>
      <c r="K11" s="6">
        <v>0</v>
      </c>
    </row>
    <row r="12" spans="1:11" ht="15.75" x14ac:dyDescent="0.25">
      <c r="A12" s="1" t="s">
        <v>12</v>
      </c>
      <c r="B12" s="1" t="s">
        <v>8</v>
      </c>
      <c r="J12" s="6">
        <v>1</v>
      </c>
    </row>
    <row r="13" spans="1:11" ht="15.75" x14ac:dyDescent="0.25">
      <c r="A13" s="1" t="s">
        <v>13</v>
      </c>
      <c r="B13" s="1" t="s">
        <v>8</v>
      </c>
      <c r="J13" s="6">
        <v>1</v>
      </c>
      <c r="K13" s="6">
        <v>0</v>
      </c>
    </row>
    <row r="14" spans="1:11" ht="15.75" x14ac:dyDescent="0.25">
      <c r="A14" s="12"/>
      <c r="B14" s="11"/>
    </row>
    <row r="15" spans="1:11" ht="15.75" x14ac:dyDescent="0.25">
      <c r="A15" s="4" t="s">
        <v>20</v>
      </c>
      <c r="B15" s="1"/>
      <c r="C15" t="s">
        <v>35</v>
      </c>
      <c r="D15" t="s">
        <v>36</v>
      </c>
      <c r="E15" t="s">
        <v>37</v>
      </c>
      <c r="F15" t="s">
        <v>38</v>
      </c>
      <c r="G15" t="s">
        <v>39</v>
      </c>
      <c r="H15" t="s">
        <v>40</v>
      </c>
    </row>
    <row r="16" spans="1:11" ht="15.75" x14ac:dyDescent="0.25">
      <c r="A16" s="1" t="s">
        <v>14</v>
      </c>
      <c r="B16" s="1"/>
      <c r="C16" s="6">
        <v>0.26</v>
      </c>
      <c r="D16" s="6">
        <v>0.4</v>
      </c>
      <c r="F16" s="6">
        <v>0.24</v>
      </c>
      <c r="G16" s="6">
        <v>7.0000000000000007E-2</v>
      </c>
      <c r="H16" s="6">
        <v>0.03</v>
      </c>
    </row>
    <row r="17" spans="1:8" ht="15.75" x14ac:dyDescent="0.25">
      <c r="A17" s="1" t="s">
        <v>15</v>
      </c>
      <c r="B17" s="11"/>
      <c r="C17" s="6">
        <v>0.5</v>
      </c>
      <c r="D17" s="6">
        <v>7.0000000000000007E-2</v>
      </c>
      <c r="F17" s="6">
        <v>0.4</v>
      </c>
      <c r="G17" s="6">
        <v>0.03</v>
      </c>
    </row>
    <row r="18" spans="1:8" ht="15.75" x14ac:dyDescent="0.25">
      <c r="A18" s="5" t="s">
        <v>21</v>
      </c>
      <c r="B18" s="2"/>
    </row>
    <row r="19" spans="1:8" ht="15.75" x14ac:dyDescent="0.25">
      <c r="A19" s="1" t="s">
        <v>16</v>
      </c>
      <c r="B19" s="1"/>
      <c r="C19" s="6">
        <v>0.2</v>
      </c>
      <c r="F19" s="6">
        <v>0.7</v>
      </c>
      <c r="G19" s="6">
        <v>0.1</v>
      </c>
    </row>
    <row r="20" spans="1:8" ht="15.75" x14ac:dyDescent="0.25">
      <c r="A20" s="1" t="s">
        <v>17</v>
      </c>
      <c r="C20" s="6">
        <v>0.7</v>
      </c>
      <c r="D20" s="6">
        <v>0.01</v>
      </c>
      <c r="F20" s="6">
        <v>0.28000000000000003</v>
      </c>
      <c r="H20" s="6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Fidelity</vt:lpstr>
      <vt:lpstr>Schwab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Clevenger</dc:creator>
  <cp:lastModifiedBy>Heath Clevenger</cp:lastModifiedBy>
  <dcterms:created xsi:type="dcterms:W3CDTF">2026-07-24T12:28:08Z</dcterms:created>
  <dcterms:modified xsi:type="dcterms:W3CDTF">2026-07-24T15:54:31Z</dcterms:modified>
</cp:coreProperties>
</file>