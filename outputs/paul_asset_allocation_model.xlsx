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et Inputs" sheetId="2" state="visible" r:id="rId2"/>
    <sheet name="MVO Detail" sheetId="3" state="visible" r:id="rId3"/>
    <sheet name="Scenario Detail" sheetId="4" state="visible" r:id="rId4"/>
    <sheet name="Constraints" sheetId="5" state="visible" r:id="rId5"/>
    <sheet name="Checks" sheetId="6" state="visible" r:id="rId6"/>
    <sheet name="Sources and Set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7">
    <font>
      <name val="Calibri"/>
      <family val="2"/>
      <color theme="1"/>
      <sz val="11"/>
      <scheme val="minor"/>
    </font>
    <font>
      <b val="1"/>
      <color rgb="0017324D"/>
      <sz val="16"/>
    </font>
    <font>
      <color rgb="00000000"/>
    </font>
    <font>
      <b val="1"/>
      <color rgb="00FFFFFF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hair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Main Recommended Overall Allocation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'Summary'!E10</f>
            </strRef>
          </tx>
          <spPr>
            <a:ln>
              <a:prstDash val="solid"/>
            </a:ln>
          </spPr>
          <cat>
            <numRef>
              <f>'Summary'!$A$11:$A$15</f>
            </numRef>
          </cat>
          <val>
            <numRef>
              <f>'Summary'!$E$11:$E$15</f>
            </numRef>
          </val>
        </ser>
        <ser>
          <idx val="1"/>
          <order val="1"/>
          <tx>
            <strRef>
              <f>'Summary'!F10</f>
            </strRef>
          </tx>
          <spPr>
            <a:ln>
              <a:prstDash val="solid"/>
            </a:ln>
          </spPr>
          <cat>
            <numRef>
              <f>'Summary'!$A$11:$A$15</f>
            </numRef>
          </cat>
          <val>
            <numRef>
              <f>'Summary'!$F$11:$F$15</f>
            </numRef>
          </val>
        </ser>
        <ser>
          <idx val="2"/>
          <order val="2"/>
          <tx>
            <strRef>
              <f>'Summary'!G10</f>
            </strRef>
          </tx>
          <spPr>
            <a:ln>
              <a:prstDash val="solid"/>
            </a:ln>
          </spPr>
          <cat>
            <numRef>
              <f>'Summary'!$A$11:$A$15</f>
            </numRef>
          </cat>
          <val>
            <numRef>
              <f>'Summary'!$G$11:$G$15</f>
            </numRef>
          </val>
        </ser>
        <ser>
          <idx val="3"/>
          <order val="3"/>
          <tx>
            <strRef>
              <f>'Summary'!H10</f>
            </strRef>
          </tx>
          <spPr>
            <a:ln>
              <a:prstDash val="solid"/>
            </a:ln>
          </spPr>
          <cat>
            <numRef>
              <f>'Summary'!$A$11:$A$15</f>
            </numRef>
          </cat>
          <val>
            <numRef>
              <f>'Summary'!$H$11:$H$15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Portfolio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6" customWidth="1" min="4" max="4"/>
    <col width="10" customWidth="1" min="5" max="5"/>
    <col width="14" customWidth="1" min="6" max="6"/>
    <col width="14" customWidth="1" min="7" max="7"/>
    <col width="10" customWidth="1" min="8" max="8"/>
    <col width="21" customWidth="1" min="9" max="9"/>
    <col width="21" customWidth="1" min="10" max="10"/>
    <col width="15" customWidth="1" min="11" max="11"/>
  </cols>
  <sheetData>
    <row r="1">
      <c r="A1" s="1" t="inlineStr">
        <is>
          <t>Paul Asset Allocation Optimization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Purpose</t>
        </is>
      </c>
      <c r="B3" s="2" t="inlineStr">
        <is>
          <t>Optimize five risk-level portfolios using compound return, volatility, and correlation assumptions with visible constraints.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Methods</t>
        </is>
      </c>
      <c r="B4" s="2" t="inlineStr">
        <is>
          <t>Main allocation is the target-volatility MVO result. Monte Carlo simulation is currently removed from all calculations.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Important</t>
        </is>
      </c>
      <c r="B5" s="2" t="inlineStr">
        <is>
          <t>This is a planning model, not investment advice. Correlations and constraints are starter assumptions that should be reviewed.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Model Status</t>
        </is>
      </c>
      <c r="B7" s="3">
        <f>IF(Checks!G2="OK","OK","Review checks")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1" t="inlineStr">
        <is>
          <t>Main Recommended Allocation: MVO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4" t="inlineStr">
        <is>
          <t>Portfolio</t>
        </is>
      </c>
      <c r="B10" s="4" t="inlineStr">
        <is>
          <t>Expected Return</t>
        </is>
      </c>
      <c r="C10" s="4" t="inlineStr">
        <is>
          <t>Volatility</t>
        </is>
      </c>
      <c r="D10" s="4" t="inlineStr">
        <is>
          <t>Sharpe vs Cash</t>
        </is>
      </c>
      <c r="E10" s="4" t="inlineStr">
        <is>
          <t>Equity</t>
        </is>
      </c>
      <c r="F10" s="4" t="inlineStr">
        <is>
          <t>Fixed Income</t>
        </is>
      </c>
      <c r="G10" s="4" t="inlineStr">
        <is>
          <t>Alternatives</t>
        </is>
      </c>
      <c r="H10" s="4" t="inlineStr">
        <is>
          <t>Cash</t>
        </is>
      </c>
      <c r="I10" s="4" t="inlineStr">
        <is>
          <t>Target Vol Min</t>
        </is>
      </c>
      <c r="J10" s="4" t="inlineStr">
        <is>
          <t>Target Vol Max</t>
        </is>
      </c>
      <c r="K10" s="4" t="inlineStr">
        <is>
          <t>Target Status</t>
        </is>
      </c>
    </row>
    <row r="11">
      <c r="A11" s="2" t="inlineStr">
        <is>
          <t>Conservative</t>
        </is>
      </c>
      <c r="B11" s="5" t="n">
        <v>0.05756</v>
      </c>
      <c r="C11" s="5" t="n">
        <v>0.083325</v>
      </c>
      <c r="D11" s="6" t="n">
        <v>0.318757</v>
      </c>
      <c r="E11" s="5" t="n">
        <v>0.302111</v>
      </c>
      <c r="F11" s="5" t="n">
        <v>0.687889</v>
      </c>
      <c r="G11" s="5" t="n">
        <v>0</v>
      </c>
      <c r="H11" s="5" t="n">
        <v>0.01</v>
      </c>
      <c r="I11" s="5" t="n">
        <v>0.07332472972620824</v>
      </c>
      <c r="J11" s="5" t="n">
        <v>0.08332472972620825</v>
      </c>
      <c r="K11" s="2" t="inlineStr">
        <is>
          <t>In target</t>
        </is>
      </c>
    </row>
    <row r="12">
      <c r="A12" s="2" t="inlineStr">
        <is>
          <t>Balanced</t>
        </is>
      </c>
      <c r="B12" s="5" t="n">
        <v>0.06447</v>
      </c>
      <c r="C12" s="5" t="n">
        <v>0.115447</v>
      </c>
      <c r="D12" s="6" t="n">
        <v>0.289915</v>
      </c>
      <c r="E12" s="5" t="n">
        <v>0.55</v>
      </c>
      <c r="F12" s="5" t="n">
        <v>0.44</v>
      </c>
      <c r="G12" s="5" t="n">
        <v>0</v>
      </c>
      <c r="H12" s="5" t="n">
        <v>0.01</v>
      </c>
      <c r="I12" s="5" t="n">
        <v>0.1054471964394289</v>
      </c>
      <c r="J12" s="5" t="n">
        <v>0.1154471964394289</v>
      </c>
      <c r="K12" s="2" t="inlineStr">
        <is>
          <t>In target</t>
        </is>
      </c>
    </row>
    <row r="13">
      <c r="A13" s="2" t="inlineStr">
        <is>
          <t>Moderate</t>
        </is>
      </c>
      <c r="B13" s="5" t="n">
        <v>0.066319</v>
      </c>
      <c r="C13" s="5" t="n">
        <v>0.129065</v>
      </c>
      <c r="D13" s="6" t="n">
        <v>0.27365</v>
      </c>
      <c r="E13" s="5" t="n">
        <v>0.65</v>
      </c>
      <c r="F13" s="5" t="n">
        <v>0.34</v>
      </c>
      <c r="G13" s="5" t="n">
        <v>0</v>
      </c>
      <c r="H13" s="5" t="n">
        <v>0.01</v>
      </c>
      <c r="I13" s="5" t="n">
        <v>0.1230651077209465</v>
      </c>
      <c r="J13" s="5" t="n">
        <v>0.1290651077209465</v>
      </c>
      <c r="K13" s="2" t="inlineStr">
        <is>
          <t>In target</t>
        </is>
      </c>
    </row>
    <row r="14">
      <c r="A14" s="2" t="inlineStr">
        <is>
          <t>Growth</t>
        </is>
      </c>
      <c r="B14" s="5" t="n">
        <v>0.06858599999999999</v>
      </c>
      <c r="C14" s="5" t="n">
        <v>0.147783</v>
      </c>
      <c r="D14" s="6" t="n">
        <v>0.254334</v>
      </c>
      <c r="E14" s="5" t="n">
        <v>0.817936</v>
      </c>
      <c r="F14" s="5" t="n">
        <v>0.172064</v>
      </c>
      <c r="G14" s="5" t="n">
        <v>0</v>
      </c>
      <c r="H14" s="5" t="n">
        <v>0.01</v>
      </c>
      <c r="I14" s="5" t="n">
        <v>0.1377832186992815</v>
      </c>
      <c r="J14" s="5" t="n">
        <v>0.1477832186992815</v>
      </c>
      <c r="K14" s="2" t="inlineStr">
        <is>
          <t>In target</t>
        </is>
      </c>
    </row>
    <row r="15">
      <c r="A15" s="2" t="inlineStr">
        <is>
          <t>Aggressive Growth</t>
        </is>
      </c>
      <c r="B15" s="5" t="n">
        <v>0.07063999999999999</v>
      </c>
      <c r="C15" s="5" t="n">
        <v>0.167147</v>
      </c>
      <c r="D15" s="6" t="n">
        <v>0.237157</v>
      </c>
      <c r="E15" s="5" t="n">
        <v>0.99</v>
      </c>
      <c r="F15" s="5" t="n">
        <v>0</v>
      </c>
      <c r="G15" s="5" t="n">
        <v>0</v>
      </c>
      <c r="H15" s="5" t="n">
        <v>0.01</v>
      </c>
      <c r="I15" s="5" t="n">
        <v>0.1576876655884257</v>
      </c>
      <c r="J15" s="5" t="n">
        <v>0.1676876655884257</v>
      </c>
      <c r="K15" s="2" t="inlineStr">
        <is>
          <t>In target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1" t="inlineStr">
        <is>
          <t>Target Volatility Optimized Overall Allocation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4" t="inlineStr">
        <is>
          <t>Portfolio</t>
        </is>
      </c>
      <c r="B19" s="4" t="inlineStr">
        <is>
          <t>Expected Return</t>
        </is>
      </c>
      <c r="C19" s="4" t="inlineStr">
        <is>
          <t>Volatility</t>
        </is>
      </c>
      <c r="D19" s="4" t="inlineStr">
        <is>
          <t>Sharpe vs Cash</t>
        </is>
      </c>
      <c r="E19" s="4" t="inlineStr">
        <is>
          <t>Equity</t>
        </is>
      </c>
      <c r="F19" s="4" t="inlineStr">
        <is>
          <t>Fixed Income</t>
        </is>
      </c>
      <c r="G19" s="4" t="inlineStr">
        <is>
          <t>Alternatives</t>
        </is>
      </c>
      <c r="H19" s="4" t="inlineStr">
        <is>
          <t>Cash</t>
        </is>
      </c>
      <c r="I19" s="4" t="inlineStr">
        <is>
          <t>Target Vol Min</t>
        </is>
      </c>
      <c r="J19" s="4" t="inlineStr">
        <is>
          <t>Target Vol Max</t>
        </is>
      </c>
      <c r="K19" s="4" t="inlineStr">
        <is>
          <t>Target Status</t>
        </is>
      </c>
    </row>
    <row r="20">
      <c r="A20" s="2" t="inlineStr">
        <is>
          <t>Conservative</t>
        </is>
      </c>
      <c r="B20" s="5" t="n">
        <v>0.05756</v>
      </c>
      <c r="C20" s="5" t="n">
        <v>0.083325</v>
      </c>
      <c r="D20" s="6" t="n">
        <v>0.318757</v>
      </c>
      <c r="E20" s="5" t="n">
        <v>0.302111</v>
      </c>
      <c r="F20" s="5" t="n">
        <v>0.687889</v>
      </c>
      <c r="G20" s="5" t="n">
        <v>0</v>
      </c>
      <c r="H20" s="5" t="n">
        <v>0.01</v>
      </c>
      <c r="I20" s="5" t="n">
        <v>0.07332472972620824</v>
      </c>
      <c r="J20" s="5" t="n">
        <v>0.08332472972620825</v>
      </c>
      <c r="K20" s="2" t="inlineStr">
        <is>
          <t>In target</t>
        </is>
      </c>
    </row>
    <row r="21">
      <c r="A21" s="2" t="inlineStr">
        <is>
          <t>Balanced</t>
        </is>
      </c>
      <c r="B21" s="5" t="n">
        <v>0.06447</v>
      </c>
      <c r="C21" s="5" t="n">
        <v>0.115447</v>
      </c>
      <c r="D21" s="6" t="n">
        <v>0.289915</v>
      </c>
      <c r="E21" s="5" t="n">
        <v>0.55</v>
      </c>
      <c r="F21" s="5" t="n">
        <v>0.44</v>
      </c>
      <c r="G21" s="5" t="n">
        <v>0</v>
      </c>
      <c r="H21" s="5" t="n">
        <v>0.01</v>
      </c>
      <c r="I21" s="5" t="n">
        <v>0.1054471964394289</v>
      </c>
      <c r="J21" s="5" t="n">
        <v>0.1154471964394289</v>
      </c>
      <c r="K21" s="2" t="inlineStr">
        <is>
          <t>In target</t>
        </is>
      </c>
    </row>
    <row r="22">
      <c r="A22" s="2" t="inlineStr">
        <is>
          <t>Moderate</t>
        </is>
      </c>
      <c r="B22" s="5" t="n">
        <v>0.066319</v>
      </c>
      <c r="C22" s="5" t="n">
        <v>0.129065</v>
      </c>
      <c r="D22" s="6" t="n">
        <v>0.27365</v>
      </c>
      <c r="E22" s="5" t="n">
        <v>0.65</v>
      </c>
      <c r="F22" s="5" t="n">
        <v>0.34</v>
      </c>
      <c r="G22" s="5" t="n">
        <v>0</v>
      </c>
      <c r="H22" s="5" t="n">
        <v>0.01</v>
      </c>
      <c r="I22" s="5" t="n">
        <v>0.1230651077209465</v>
      </c>
      <c r="J22" s="5" t="n">
        <v>0.1290651077209465</v>
      </c>
      <c r="K22" s="2" t="inlineStr">
        <is>
          <t>In target</t>
        </is>
      </c>
    </row>
    <row r="23">
      <c r="A23" s="2" t="inlineStr">
        <is>
          <t>Growth</t>
        </is>
      </c>
      <c r="B23" s="5" t="n">
        <v>0.06858599999999999</v>
      </c>
      <c r="C23" s="5" t="n">
        <v>0.147783</v>
      </c>
      <c r="D23" s="6" t="n">
        <v>0.254334</v>
      </c>
      <c r="E23" s="5" t="n">
        <v>0.817936</v>
      </c>
      <c r="F23" s="5" t="n">
        <v>0.172064</v>
      </c>
      <c r="G23" s="5" t="n">
        <v>0</v>
      </c>
      <c r="H23" s="5" t="n">
        <v>0.01</v>
      </c>
      <c r="I23" s="5" t="n">
        <v>0.1377832186992815</v>
      </c>
      <c r="J23" s="5" t="n">
        <v>0.1477832186992815</v>
      </c>
      <c r="K23" s="2" t="inlineStr">
        <is>
          <t>In target</t>
        </is>
      </c>
    </row>
    <row r="24">
      <c r="A24" s="2" t="inlineStr">
        <is>
          <t>Aggressive Growth</t>
        </is>
      </c>
      <c r="B24" s="5" t="n">
        <v>0.07063999999999999</v>
      </c>
      <c r="C24" s="5" t="n">
        <v>0.167147</v>
      </c>
      <c r="D24" s="6" t="n">
        <v>0.237157</v>
      </c>
      <c r="E24" s="5" t="n">
        <v>0.99</v>
      </c>
      <c r="F24" s="5" t="n">
        <v>0</v>
      </c>
      <c r="G24" s="5" t="n">
        <v>0</v>
      </c>
      <c r="H24" s="5" t="n">
        <v>0.01</v>
      </c>
      <c r="I24" s="5" t="n">
        <v>0.1576876655884257</v>
      </c>
      <c r="J24" s="5" t="n">
        <v>0.1676876655884257</v>
      </c>
      <c r="K24" s="2" t="inlineStr">
        <is>
          <t>In target</t>
        </is>
      </c>
    </row>
  </sheetData>
  <mergeCells count="2">
    <mergeCell ref="A18:K18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4" customWidth="1" min="3" max="3"/>
    <col width="22" customWidth="1" min="4" max="4"/>
    <col width="22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Asset</t>
        </is>
      </c>
      <c r="B1" s="1" t="inlineStr">
        <is>
          <t>Category</t>
        </is>
      </c>
      <c r="C1" s="1" t="inlineStr">
        <is>
          <t>Source Name(s)</t>
        </is>
      </c>
      <c r="D1" s="1" t="inlineStr">
        <is>
          <t>Compound Return</t>
        </is>
      </c>
      <c r="E1" s="1" t="inlineStr">
        <is>
          <t>Volatility</t>
        </is>
      </c>
      <c r="F1" s="1" t="inlineStr">
        <is>
          <t>Min Weight</t>
        </is>
      </c>
      <c r="G1" s="1" t="inlineStr">
        <is>
          <t>Max Weight</t>
        </is>
      </c>
      <c r="H1" s="1" t="inlineStr">
        <is>
          <t>Source Mapping</t>
        </is>
      </c>
    </row>
    <row r="2">
      <c r="A2" s="2" t="inlineStr">
        <is>
          <t>U.S. Large Cap</t>
        </is>
      </c>
      <c r="B2" s="2" t="inlineStr">
        <is>
          <t>Equity</t>
        </is>
      </c>
      <c r="C2" s="2" t="inlineStr">
        <is>
          <t>U.S. Large Cap</t>
        </is>
      </c>
      <c r="D2" s="7" t="n">
        <v>0.067</v>
      </c>
      <c r="E2" s="7" t="n">
        <v>0.1647014248435096</v>
      </c>
      <c r="F2" s="7" t="n">
        <v>0.2</v>
      </c>
      <c r="G2" s="7" t="n">
        <v>0.45</v>
      </c>
      <c r="H2" s="2" t="inlineStr">
        <is>
          <t>U.S. Large Cap</t>
        </is>
      </c>
    </row>
    <row r="3">
      <c r="A3" s="2" t="inlineStr">
        <is>
          <t>U.S. Mid Cap</t>
        </is>
      </c>
      <c r="B3" s="2" t="inlineStr">
        <is>
          <t>Equity</t>
        </is>
      </c>
      <c r="C3" s="2" t="inlineStr">
        <is>
          <t>U.S. Mid Cap</t>
        </is>
      </c>
      <c r="D3" s="7" t="n">
        <v>0.07000000000000001</v>
      </c>
      <c r="E3" s="7" t="n">
        <v>0.1856297926564873</v>
      </c>
      <c r="F3" s="7" t="n">
        <v>0</v>
      </c>
      <c r="G3" s="7" t="n">
        <v>0.2</v>
      </c>
      <c r="H3" s="2" t="inlineStr">
        <is>
          <t>U.S. Mid Cap</t>
        </is>
      </c>
    </row>
    <row r="4">
      <c r="A4" s="2" t="inlineStr">
        <is>
          <t>U.S. Small Cap</t>
        </is>
      </c>
      <c r="B4" s="2" t="inlineStr">
        <is>
          <t>Equity</t>
        </is>
      </c>
      <c r="C4" s="2" t="inlineStr">
        <is>
          <t>U.S. Small Cap</t>
        </is>
      </c>
      <c r="D4" s="7" t="n">
        <v>0.06900000000000001</v>
      </c>
      <c r="E4" s="7" t="n">
        <v>0.2109707128132829</v>
      </c>
      <c r="F4" s="7" t="n">
        <v>0</v>
      </c>
      <c r="G4" s="7" t="n">
        <v>0.05</v>
      </c>
      <c r="H4" s="2" t="inlineStr">
        <is>
          <t>U.S. Small Cap</t>
        </is>
      </c>
    </row>
    <row r="5">
      <c r="A5" s="2" t="inlineStr">
        <is>
          <t>International Developed Equity</t>
        </is>
      </c>
      <c r="B5" s="2" t="inlineStr">
        <is>
          <t>Equity</t>
        </is>
      </c>
      <c r="C5" s="2" t="inlineStr">
        <is>
          <t>EAFE Equity</t>
        </is>
      </c>
      <c r="D5" s="7" t="n">
        <v>0.081</v>
      </c>
      <c r="E5" s="7" t="n">
        <v>0.1762945661402543</v>
      </c>
      <c r="F5" s="7" t="n">
        <v>0.1</v>
      </c>
      <c r="G5" s="7" t="n">
        <v>0.2</v>
      </c>
      <c r="H5" s="2" t="inlineStr">
        <is>
          <t>EAFE Equity</t>
        </is>
      </c>
    </row>
    <row r="6">
      <c r="A6" s="2" t="inlineStr">
        <is>
          <t>Emerging Markets Equity</t>
        </is>
      </c>
      <c r="B6" s="2" t="inlineStr">
        <is>
          <t>Equity</t>
        </is>
      </c>
      <c r="C6" s="2" t="inlineStr">
        <is>
          <t>Emerging Markets Equity</t>
        </is>
      </c>
      <c r="D6" s="7" t="n">
        <v>0.07199999999999999</v>
      </c>
      <c r="E6" s="7" t="n">
        <v>0.2093318280359241</v>
      </c>
      <c r="F6" s="7" t="n">
        <v>0</v>
      </c>
      <c r="G6" s="7" t="n">
        <v>0.1</v>
      </c>
      <c r="H6" s="2" t="inlineStr">
        <is>
          <t>Emerging Markets Equity</t>
        </is>
      </c>
    </row>
    <row r="7">
      <c r="A7" s="2" t="inlineStr">
        <is>
          <t>U.S. REITs</t>
        </is>
      </c>
      <c r="B7" s="2" t="inlineStr">
        <is>
          <t>Alternatives</t>
        </is>
      </c>
      <c r="C7" s="2" t="inlineStr">
        <is>
          <t>U.S. REITs</t>
        </is>
      </c>
      <c r="D7" s="7" t="n">
        <v>0.08</v>
      </c>
      <c r="E7" s="7" t="n">
        <v>0.1739687863508271</v>
      </c>
      <c r="F7" s="7" t="n">
        <v>0</v>
      </c>
      <c r="G7" s="7" t="n">
        <v>0</v>
      </c>
      <c r="H7" s="2" t="inlineStr">
        <is>
          <t>U.S. REITs</t>
        </is>
      </c>
    </row>
    <row r="8">
      <c r="A8" s="2" t="inlineStr">
        <is>
          <t>Commodities</t>
        </is>
      </c>
      <c r="B8" s="2" t="inlineStr">
        <is>
          <t>Alternatives</t>
        </is>
      </c>
      <c r="C8" s="2" t="inlineStr">
        <is>
          <t>Commodities</t>
        </is>
      </c>
      <c r="D8" s="7" t="n">
        <v>0.038</v>
      </c>
      <c r="E8" s="7" t="n">
        <v>0.1831843108236745</v>
      </c>
      <c r="F8" s="7" t="n">
        <v>0</v>
      </c>
      <c r="G8" s="7" t="n">
        <v>0</v>
      </c>
      <c r="H8" s="2" t="inlineStr">
        <is>
          <t>Commodities</t>
        </is>
      </c>
    </row>
    <row r="9">
      <c r="A9" s="2" t="inlineStr">
        <is>
          <t>Income U.S. - U.S. Treasury</t>
        </is>
      </c>
      <c r="B9" s="2" t="inlineStr">
        <is>
          <t>Fixed Income</t>
        </is>
      </c>
      <c r="C9" s="2" t="inlineStr">
        <is>
          <t>U.S. Intermediate Treasuries, U.S. Long Treasuries, TIPS</t>
        </is>
      </c>
      <c r="D9" s="7" t="n">
        <v>0.04066666666666666</v>
      </c>
      <c r="E9" s="7" t="n">
        <v>0.06760238506172241</v>
      </c>
      <c r="F9" s="7" t="n">
        <v>0</v>
      </c>
      <c r="G9" s="7" t="n">
        <v>0.45</v>
      </c>
      <c r="H9" s="2" t="inlineStr">
        <is>
          <t>Equal-weight U.S. Intermediate Treasuries, U.S. Long Treasuries, and TIPS</t>
        </is>
      </c>
    </row>
    <row r="10">
      <c r="A10" s="2" t="inlineStr">
        <is>
          <t>Income U.S. Government Related</t>
        </is>
      </c>
      <c r="B10" s="2" t="inlineStr">
        <is>
          <t>Fixed Income</t>
        </is>
      </c>
      <c r="C10" s="2" t="inlineStr">
        <is>
          <t>U.S. Aggregate Bonds, U.S. Muni 1-15 Yr Blend</t>
        </is>
      </c>
      <c r="D10" s="7" t="n">
        <v>0.04099999999999999</v>
      </c>
      <c r="E10" s="7" t="n">
        <v>0.04155805259925415</v>
      </c>
      <c r="F10" s="7" t="n">
        <v>0</v>
      </c>
      <c r="G10" s="7" t="n">
        <v>0.35</v>
      </c>
      <c r="H10" s="2" t="inlineStr">
        <is>
          <t>Equal-weight U.S. Aggregate Bonds and U.S. Muni 1-15 Yr Blend</t>
        </is>
      </c>
    </row>
    <row r="11">
      <c r="A11" s="2" t="inlineStr">
        <is>
          <t>Income U.S. Corporate</t>
        </is>
      </c>
      <c r="B11" s="2" t="inlineStr">
        <is>
          <t>Fixed Income</t>
        </is>
      </c>
      <c r="C11" s="2" t="inlineStr">
        <is>
          <t>U.S. Inv Grade Corporate Bonds, U.S. High Yield Bonds</t>
        </is>
      </c>
      <c r="D11" s="7" t="n">
        <v>0.0555</v>
      </c>
      <c r="E11" s="7" t="n">
        <v>0.07371002061513575</v>
      </c>
      <c r="F11" s="7" t="n">
        <v>0</v>
      </c>
      <c r="G11" s="7" t="n">
        <v>0.4</v>
      </c>
      <c r="H11" s="2" t="inlineStr">
        <is>
          <t>Equal-weight U.S. Investment Grade Corporate Bonds and U.S. High Yield Bonds</t>
        </is>
      </c>
    </row>
    <row r="12">
      <c r="A12" s="2" t="inlineStr">
        <is>
          <t>Income U.S. Securitized</t>
        </is>
      </c>
      <c r="B12" s="2" t="inlineStr">
        <is>
          <t>Fixed Income</t>
        </is>
      </c>
      <c r="C12" s="2" t="inlineStr">
        <is>
          <t>U.S. Securitized</t>
        </is>
      </c>
      <c r="D12" s="7" t="n">
        <v>0.049</v>
      </c>
      <c r="E12" s="7" t="n">
        <v>0.04185940438750216</v>
      </c>
      <c r="F12" s="7" t="n">
        <v>0</v>
      </c>
      <c r="G12" s="7" t="n">
        <v>0.03</v>
      </c>
      <c r="H12" s="2" t="inlineStr">
        <is>
          <t>U.S. Securitized</t>
        </is>
      </c>
    </row>
    <row r="13">
      <c r="A13" s="2" t="inlineStr">
        <is>
          <t>Fixed Income International</t>
        </is>
      </c>
      <c r="B13" s="2" t="inlineStr">
        <is>
          <t>Fixed Income</t>
        </is>
      </c>
      <c r="C13" s="2" t="inlineStr">
        <is>
          <t>World ex-U.S. Government Bonds hedged, Emerging Markets Sovereign Debt, Emerging Markets Corporate Bonds</t>
        </is>
      </c>
      <c r="D13" s="7" t="n">
        <v>0.05266666666666667</v>
      </c>
      <c r="E13" s="7" t="n">
        <v>0.06020932811355845</v>
      </c>
      <c r="F13" s="7" t="n">
        <v>0</v>
      </c>
      <c r="G13" s="7" t="n">
        <v>0.1</v>
      </c>
      <c r="H13" s="2" t="inlineStr">
        <is>
          <t>Equal-weight World ex-U.S. Government Bonds hedged, Emerging Markets Sovereign Debt, and Emerging Markets Corporate Bonds</t>
        </is>
      </c>
    </row>
    <row r="14">
      <c r="A14" s="2" t="inlineStr">
        <is>
          <t>Other Fixed Income</t>
        </is>
      </c>
      <c r="B14" s="2" t="inlineStr">
        <is>
          <t>Fixed Income</t>
        </is>
      </c>
      <c r="C14" s="2" t="inlineStr">
        <is>
          <t>U.S. Leveraged Loans, Emerging Markets Local Currency Debt, U.S. Muni High Yield</t>
        </is>
      </c>
      <c r="D14" s="7" t="n">
        <v>0.058</v>
      </c>
      <c r="E14" s="7" t="n">
        <v>0.0731350475003347</v>
      </c>
      <c r="F14" s="7" t="n">
        <v>0</v>
      </c>
      <c r="G14" s="7" t="n">
        <v>0.01</v>
      </c>
      <c r="H14" s="2" t="inlineStr">
        <is>
          <t>Equal-weight U.S. Leveraged Loans, Emerging Markets Local Currency Debt, and U.S. Muni High Yield</t>
        </is>
      </c>
    </row>
    <row r="15">
      <c r="A15" s="2" t="inlineStr">
        <is>
          <t>Cash</t>
        </is>
      </c>
      <c r="B15" s="2" t="inlineStr">
        <is>
          <t>Cash</t>
        </is>
      </c>
      <c r="C15" s="2" t="inlineStr">
        <is>
          <t>U.S. Cash</t>
        </is>
      </c>
      <c r="D15" s="7" t="n">
        <v>0.031</v>
      </c>
      <c r="E15" s="7" t="n">
        <v>0.006692990421794862</v>
      </c>
      <c r="F15" s="7" t="n">
        <v>0.01</v>
      </c>
      <c r="G15" s="7" t="n">
        <v>0.01</v>
      </c>
      <c r="H15" s="2" t="inlineStr">
        <is>
          <t>U.S.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</cols>
  <sheetData>
    <row r="1">
      <c r="A1" s="1" t="inlineStr">
        <is>
          <t>Asset</t>
        </is>
      </c>
      <c r="B1" s="1" t="inlineStr">
        <is>
          <t>Category</t>
        </is>
      </c>
      <c r="C1" s="1" t="inlineStr">
        <is>
          <t>Conservative</t>
        </is>
      </c>
      <c r="D1" s="1" t="inlineStr">
        <is>
          <t>Balanced</t>
        </is>
      </c>
      <c r="E1" s="1" t="inlineStr">
        <is>
          <t>Moderate</t>
        </is>
      </c>
      <c r="F1" s="1" t="inlineStr">
        <is>
          <t>Growth</t>
        </is>
      </c>
      <c r="G1" s="1" t="inlineStr">
        <is>
          <t>Aggressive Growth</t>
        </is>
      </c>
    </row>
    <row r="2">
      <c r="A2" s="2" t="inlineStr">
        <is>
          <t>U.S. Large Cap</t>
        </is>
      </c>
      <c r="B2" s="2" t="inlineStr">
        <is>
          <t>Equity</t>
        </is>
      </c>
      <c r="C2" s="5" t="n">
        <v>0.2</v>
      </c>
      <c r="D2" s="5" t="n">
        <v>0.239219</v>
      </c>
      <c r="E2" s="5" t="n">
        <v>0.2</v>
      </c>
      <c r="F2" s="5" t="n">
        <v>0.317936</v>
      </c>
      <c r="G2" s="5" t="n">
        <v>0.44</v>
      </c>
    </row>
    <row r="3">
      <c r="A3" s="2" t="inlineStr">
        <is>
          <t>U.S. Mid Cap</t>
        </is>
      </c>
      <c r="B3" s="2" t="inlineStr">
        <is>
          <t>Equity</t>
        </is>
      </c>
      <c r="C3" s="5" t="n">
        <v>0</v>
      </c>
      <c r="D3" s="5" t="n">
        <v>0.02115</v>
      </c>
      <c r="E3" s="5" t="n">
        <v>0.15</v>
      </c>
      <c r="F3" s="5" t="n">
        <v>0.2</v>
      </c>
      <c r="G3" s="5" t="n">
        <v>0.2</v>
      </c>
    </row>
    <row r="4">
      <c r="A4" s="2" t="inlineStr">
        <is>
          <t>U.S. Small Cap</t>
        </is>
      </c>
      <c r="B4" s="2" t="inlineStr">
        <is>
          <t>Equity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0.05</v>
      </c>
    </row>
    <row r="5">
      <c r="A5" s="2" t="inlineStr">
        <is>
          <t>International Developed Equity</t>
        </is>
      </c>
      <c r="B5" s="2" t="inlineStr">
        <is>
          <t>Equity</t>
        </is>
      </c>
      <c r="C5" s="5" t="n">
        <v>0.102111</v>
      </c>
      <c r="D5" s="5" t="n">
        <v>0.2</v>
      </c>
      <c r="E5" s="5" t="n">
        <v>0.2</v>
      </c>
      <c r="F5" s="5" t="n">
        <v>0.2</v>
      </c>
      <c r="G5" s="5" t="n">
        <v>0.2</v>
      </c>
    </row>
    <row r="6">
      <c r="A6" s="2" t="inlineStr">
        <is>
          <t>Emerging Markets Equity</t>
        </is>
      </c>
      <c r="B6" s="2" t="inlineStr">
        <is>
          <t>Equity</t>
        </is>
      </c>
      <c r="C6" s="5" t="n">
        <v>0</v>
      </c>
      <c r="D6" s="5" t="n">
        <v>0.089631</v>
      </c>
      <c r="E6" s="5" t="n">
        <v>0.1</v>
      </c>
      <c r="F6" s="5" t="n">
        <v>0.1</v>
      </c>
      <c r="G6" s="5" t="n">
        <v>0.1</v>
      </c>
    </row>
    <row r="7">
      <c r="A7" s="2" t="inlineStr">
        <is>
          <t>U.S. REITs</t>
        </is>
      </c>
      <c r="B7" s="2" t="inlineStr">
        <is>
          <t>Alternatives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s="2" t="inlineStr">
        <is>
          <t>Commodities</t>
        </is>
      </c>
      <c r="B8" s="2" t="inlineStr">
        <is>
          <t>Alternatives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s="2" t="inlineStr">
        <is>
          <t>Income U.S. - U.S. Treasury</t>
        </is>
      </c>
      <c r="B9" s="2" t="inlineStr">
        <is>
          <t>Fixed Income</t>
        </is>
      </c>
      <c r="C9" s="5" t="n">
        <v>0.002264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s="2" t="inlineStr">
        <is>
          <t>Income U.S. Government Related</t>
        </is>
      </c>
      <c r="B10" s="2" t="inlineStr">
        <is>
          <t>Fixed Income</t>
        </is>
      </c>
      <c r="C10" s="5" t="n">
        <v>0.145625</v>
      </c>
      <c r="D10" s="5" t="n">
        <v>0</v>
      </c>
      <c r="E10" s="5" t="n">
        <v>0</v>
      </c>
      <c r="F10" s="5" t="n">
        <v>0</v>
      </c>
      <c r="G10" s="5" t="n">
        <v>0</v>
      </c>
    </row>
    <row r="11">
      <c r="A11" s="2" t="inlineStr">
        <is>
          <t>Income U.S. Corporate</t>
        </is>
      </c>
      <c r="B11" s="2" t="inlineStr">
        <is>
          <t>Fixed Income</t>
        </is>
      </c>
      <c r="C11" s="5" t="n">
        <v>0.4</v>
      </c>
      <c r="D11" s="5" t="n">
        <v>0.311147</v>
      </c>
      <c r="E11" s="5" t="n">
        <v>0.301335</v>
      </c>
      <c r="F11" s="5" t="n">
        <v>0.162064</v>
      </c>
      <c r="G11" s="5" t="n">
        <v>0</v>
      </c>
    </row>
    <row r="12">
      <c r="A12" s="2" t="inlineStr">
        <is>
          <t>Income U.S. Securitized</t>
        </is>
      </c>
      <c r="B12" s="2" t="inlineStr">
        <is>
          <t>Fixed Income</t>
        </is>
      </c>
      <c r="C12" s="5" t="n">
        <v>0.03</v>
      </c>
      <c r="D12" s="5" t="n">
        <v>0.03</v>
      </c>
      <c r="E12" s="5" t="n">
        <v>0.028665</v>
      </c>
      <c r="F12" s="5" t="n">
        <v>0</v>
      </c>
      <c r="G12" s="5" t="n">
        <v>0</v>
      </c>
    </row>
    <row r="13">
      <c r="A13" s="2" t="inlineStr">
        <is>
          <t>Fixed Income International</t>
        </is>
      </c>
      <c r="B13" s="2" t="inlineStr">
        <is>
          <t>Fixed Income</t>
        </is>
      </c>
      <c r="C13" s="5" t="n">
        <v>0.1</v>
      </c>
      <c r="D13" s="5" t="n">
        <v>0.088853</v>
      </c>
      <c r="E13" s="5" t="n">
        <v>0</v>
      </c>
      <c r="F13" s="5" t="n">
        <v>0</v>
      </c>
      <c r="G13" s="5" t="n">
        <v>0</v>
      </c>
    </row>
    <row r="14">
      <c r="A14" s="2" t="inlineStr">
        <is>
          <t>Other Fixed Income</t>
        </is>
      </c>
      <c r="B14" s="2" t="inlineStr">
        <is>
          <t>Fixed Income</t>
        </is>
      </c>
      <c r="C14" s="5" t="n">
        <v>0.01</v>
      </c>
      <c r="D14" s="5" t="n">
        <v>0.01</v>
      </c>
      <c r="E14" s="5" t="n">
        <v>0.01</v>
      </c>
      <c r="F14" s="5" t="n">
        <v>0.01</v>
      </c>
      <c r="G14" s="5" t="n">
        <v>0</v>
      </c>
    </row>
    <row r="15">
      <c r="A15" s="2" t="inlineStr">
        <is>
          <t>Cash</t>
        </is>
      </c>
      <c r="B15" s="2" t="inlineStr">
        <is>
          <t>Cash</t>
        </is>
      </c>
      <c r="C15" s="5" t="n">
        <v>0.01</v>
      </c>
      <c r="D15" s="5" t="n">
        <v>0.01</v>
      </c>
      <c r="E15" s="5" t="n">
        <v>0.01</v>
      </c>
      <c r="F15" s="5" t="n">
        <v>0.01</v>
      </c>
      <c r="G15" s="5" t="n">
        <v>0.01</v>
      </c>
    </row>
    <row r="16">
      <c r="A16" s="2" t="inlineStr">
        <is>
          <t>Total</t>
        </is>
      </c>
      <c r="B16" s="2" t="inlineStr">
        <is>
          <t>Check</t>
        </is>
      </c>
      <c r="C16" s="8">
        <f>SUM(C2:C15)</f>
        <v/>
      </c>
      <c r="D16" s="8">
        <f>SUM(D2:D15)</f>
        <v/>
      </c>
      <c r="E16" s="8">
        <f>SUM(E2:E15)</f>
        <v/>
      </c>
      <c r="F16" s="8">
        <f>SUM(F2:F15)</f>
        <v/>
      </c>
      <c r="G16" s="8">
        <f>SUM(G2:G15)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11" customWidth="1" min="4" max="4"/>
    <col width="10" customWidth="1" min="5" max="5"/>
    <col width="14" customWidth="1" min="6" max="6"/>
    <col width="14" customWidth="1" min="7" max="7"/>
    <col width="10" customWidth="1" min="8" max="8"/>
    <col width="21" customWidth="1" min="9" max="9"/>
    <col width="21" customWidth="1" min="10" max="10"/>
    <col width="15" customWidth="1" min="11" max="11"/>
  </cols>
  <sheetData>
    <row r="1">
      <c r="A1" s="1" t="inlineStr">
        <is>
          <t>Bad Economy Optimized Overall Allocation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Portfolio</t>
        </is>
      </c>
      <c r="B2" s="2" t="inlineStr">
        <is>
          <t>Expected Return</t>
        </is>
      </c>
      <c r="C2" s="2" t="inlineStr">
        <is>
          <t>Volatility</t>
        </is>
      </c>
      <c r="D2" s="2" t="inlineStr">
        <is>
          <t>Sharpe</t>
        </is>
      </c>
      <c r="E2" s="2" t="inlineStr">
        <is>
          <t>Equity</t>
        </is>
      </c>
      <c r="F2" s="2" t="inlineStr">
        <is>
          <t>Fixed Income</t>
        </is>
      </c>
      <c r="G2" s="2" t="inlineStr">
        <is>
          <t>Alternatives</t>
        </is>
      </c>
      <c r="H2" s="2" t="inlineStr">
        <is>
          <t>Cash</t>
        </is>
      </c>
      <c r="I2" s="2" t="inlineStr">
        <is>
          <t>Target Vol Min</t>
        </is>
      </c>
      <c r="J2" s="2" t="inlineStr">
        <is>
          <t>Target Vol Max</t>
        </is>
      </c>
      <c r="K2" s="2" t="inlineStr">
        <is>
          <t>Target Status</t>
        </is>
      </c>
    </row>
    <row r="3">
      <c r="A3" s="2" t="inlineStr">
        <is>
          <t>Conservative</t>
        </is>
      </c>
      <c r="B3" s="5" t="n">
        <v>0.010611</v>
      </c>
      <c r="C3" s="5" t="n">
        <v>0.074644</v>
      </c>
      <c r="D3" s="6" t="n">
        <v>-0.273156</v>
      </c>
      <c r="E3" s="5" t="n">
        <v>0.3</v>
      </c>
      <c r="F3" s="5" t="n">
        <v>0.6899999999999999</v>
      </c>
      <c r="G3" s="5" t="n">
        <v>0</v>
      </c>
      <c r="H3" s="5" t="n">
        <v>0.01</v>
      </c>
      <c r="I3" s="5" t="n">
        <v>0.07332472972620824</v>
      </c>
      <c r="J3" s="5" t="n">
        <v>0.08332472972620825</v>
      </c>
      <c r="K3" s="2" t="inlineStr">
        <is>
          <t>In target</t>
        </is>
      </c>
    </row>
    <row r="4">
      <c r="A4" s="2" t="inlineStr">
        <is>
          <t>Balanced</t>
        </is>
      </c>
      <c r="B4" s="5" t="n">
        <v>0.002659</v>
      </c>
      <c r="C4" s="5" t="n">
        <v>0.105447</v>
      </c>
      <c r="D4" s="6" t="n">
        <v>-0.268766</v>
      </c>
      <c r="E4" s="5" t="n">
        <v>0.55</v>
      </c>
      <c r="F4" s="5" t="n">
        <v>0.44</v>
      </c>
      <c r="G4" s="5" t="n">
        <v>0</v>
      </c>
      <c r="H4" s="5" t="n">
        <v>0.01</v>
      </c>
      <c r="I4" s="5" t="n">
        <v>0.1054471964394289</v>
      </c>
      <c r="J4" s="5" t="n">
        <v>0.1154471964394289</v>
      </c>
      <c r="K4" s="2" t="inlineStr">
        <is>
          <t>In target</t>
        </is>
      </c>
    </row>
    <row r="5">
      <c r="A5" s="2" t="inlineStr">
        <is>
          <t>Moderate</t>
        </is>
      </c>
      <c r="B5" s="5" t="n">
        <v>-0.00108</v>
      </c>
      <c r="C5" s="5" t="n">
        <v>0.123065</v>
      </c>
      <c r="D5" s="6" t="n">
        <v>-0.260676</v>
      </c>
      <c r="E5" s="5" t="n">
        <v>0.65</v>
      </c>
      <c r="F5" s="5" t="n">
        <v>0.34</v>
      </c>
      <c r="G5" s="5" t="n">
        <v>0</v>
      </c>
      <c r="H5" s="5" t="n">
        <v>0.01</v>
      </c>
      <c r="I5" s="5" t="n">
        <v>0.1230651077209465</v>
      </c>
      <c r="J5" s="5" t="n">
        <v>0.1290651077209465</v>
      </c>
      <c r="K5" s="2" t="inlineStr">
        <is>
          <t>In target</t>
        </is>
      </c>
    </row>
    <row r="6">
      <c r="A6" s="2" t="inlineStr">
        <is>
          <t>Growth</t>
        </is>
      </c>
      <c r="B6" s="5" t="n">
        <v>-0.00588</v>
      </c>
      <c r="C6" s="5" t="n">
        <v>0.137783</v>
      </c>
      <c r="D6" s="6" t="n">
        <v>-0.26767</v>
      </c>
      <c r="E6" s="5" t="n">
        <v>0.750985</v>
      </c>
      <c r="F6" s="5" t="n">
        <v>0.239015</v>
      </c>
      <c r="G6" s="5" t="n">
        <v>0</v>
      </c>
      <c r="H6" s="5" t="n">
        <v>0.01</v>
      </c>
      <c r="I6" s="5" t="n">
        <v>0.1377832186992815</v>
      </c>
      <c r="J6" s="5" t="n">
        <v>0.1477832186992815</v>
      </c>
      <c r="K6" s="2" t="inlineStr">
        <is>
          <t>In target</t>
        </is>
      </c>
    </row>
    <row r="7">
      <c r="A7" s="2" t="inlineStr">
        <is>
          <t>Aggressive Growth</t>
        </is>
      </c>
      <c r="B7" s="5" t="n">
        <v>-0.013175</v>
      </c>
      <c r="C7" s="5" t="n">
        <v>0.157688</v>
      </c>
      <c r="D7" s="6" t="n">
        <v>-0.28014</v>
      </c>
      <c r="E7" s="5" t="n">
        <v>0.90843</v>
      </c>
      <c r="F7" s="5" t="n">
        <v>0.08157</v>
      </c>
      <c r="G7" s="5" t="n">
        <v>0</v>
      </c>
      <c r="H7" s="5" t="n">
        <v>0.01</v>
      </c>
      <c r="I7" s="5" t="n">
        <v>0.1576876655884257</v>
      </c>
      <c r="J7" s="5" t="n">
        <v>0.1676876655884257</v>
      </c>
      <c r="K7" s="2" t="inlineStr">
        <is>
          <t>In target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1" t="inlineStr">
        <is>
          <t>Median Economy Optimized Overall Allocation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Portfolio</t>
        </is>
      </c>
      <c r="B11" s="2" t="inlineStr">
        <is>
          <t>Expected Return</t>
        </is>
      </c>
      <c r="C11" s="2" t="inlineStr">
        <is>
          <t>Volatility</t>
        </is>
      </c>
      <c r="D11" s="2" t="inlineStr">
        <is>
          <t>Sharpe</t>
        </is>
      </c>
      <c r="E11" s="2" t="inlineStr">
        <is>
          <t>Equity</t>
        </is>
      </c>
      <c r="F11" s="2" t="inlineStr">
        <is>
          <t>Fixed Income</t>
        </is>
      </c>
      <c r="G11" s="2" t="inlineStr">
        <is>
          <t>Alternatives</t>
        </is>
      </c>
      <c r="H11" s="2" t="inlineStr">
        <is>
          <t>Cash</t>
        </is>
      </c>
      <c r="I11" s="2" t="inlineStr">
        <is>
          <t>Target Vol Min</t>
        </is>
      </c>
      <c r="J11" s="2" t="inlineStr">
        <is>
          <t>Target Vol Max</t>
        </is>
      </c>
      <c r="K11" s="2" t="inlineStr">
        <is>
          <t>Target Status</t>
        </is>
      </c>
    </row>
    <row r="12">
      <c r="A12" s="2" t="inlineStr">
        <is>
          <t>Conservative</t>
        </is>
      </c>
      <c r="B12" s="5" t="n">
        <v>0.05756</v>
      </c>
      <c r="C12" s="5" t="n">
        <v>0.083325</v>
      </c>
      <c r="D12" s="6" t="n">
        <v>0.318757</v>
      </c>
      <c r="E12" s="5" t="n">
        <v>0.302111</v>
      </c>
      <c r="F12" s="5" t="n">
        <v>0.687889</v>
      </c>
      <c r="G12" s="5" t="n">
        <v>0</v>
      </c>
      <c r="H12" s="5" t="n">
        <v>0.01</v>
      </c>
      <c r="I12" s="5" t="n">
        <v>0.07332472972620824</v>
      </c>
      <c r="J12" s="5" t="n">
        <v>0.08332472972620825</v>
      </c>
      <c r="K12" s="2" t="inlineStr">
        <is>
          <t>In target</t>
        </is>
      </c>
    </row>
    <row r="13">
      <c r="A13" s="2" t="inlineStr">
        <is>
          <t>Balanced</t>
        </is>
      </c>
      <c r="B13" s="5" t="n">
        <v>0.06447</v>
      </c>
      <c r="C13" s="5" t="n">
        <v>0.115447</v>
      </c>
      <c r="D13" s="6" t="n">
        <v>0.289915</v>
      </c>
      <c r="E13" s="5" t="n">
        <v>0.55</v>
      </c>
      <c r="F13" s="5" t="n">
        <v>0.44</v>
      </c>
      <c r="G13" s="5" t="n">
        <v>0</v>
      </c>
      <c r="H13" s="5" t="n">
        <v>0.01</v>
      </c>
      <c r="I13" s="5" t="n">
        <v>0.1054471964394289</v>
      </c>
      <c r="J13" s="5" t="n">
        <v>0.1154471964394289</v>
      </c>
      <c r="K13" s="2" t="inlineStr">
        <is>
          <t>In target</t>
        </is>
      </c>
    </row>
    <row r="14">
      <c r="A14" s="2" t="inlineStr">
        <is>
          <t>Moderate</t>
        </is>
      </c>
      <c r="B14" s="5" t="n">
        <v>0.066319</v>
      </c>
      <c r="C14" s="5" t="n">
        <v>0.129065</v>
      </c>
      <c r="D14" s="6" t="n">
        <v>0.27365</v>
      </c>
      <c r="E14" s="5" t="n">
        <v>0.65</v>
      </c>
      <c r="F14" s="5" t="n">
        <v>0.34</v>
      </c>
      <c r="G14" s="5" t="n">
        <v>0</v>
      </c>
      <c r="H14" s="5" t="n">
        <v>0.01</v>
      </c>
      <c r="I14" s="5" t="n">
        <v>0.1230651077209465</v>
      </c>
      <c r="J14" s="5" t="n">
        <v>0.1290651077209465</v>
      </c>
      <c r="K14" s="2" t="inlineStr">
        <is>
          <t>In target</t>
        </is>
      </c>
    </row>
    <row r="15">
      <c r="A15" s="2" t="inlineStr">
        <is>
          <t>Growth</t>
        </is>
      </c>
      <c r="B15" s="5" t="n">
        <v>0.06858599999999999</v>
      </c>
      <c r="C15" s="5" t="n">
        <v>0.147783</v>
      </c>
      <c r="D15" s="6" t="n">
        <v>0.254334</v>
      </c>
      <c r="E15" s="5" t="n">
        <v>0.817936</v>
      </c>
      <c r="F15" s="5" t="n">
        <v>0.172064</v>
      </c>
      <c r="G15" s="5" t="n">
        <v>0</v>
      </c>
      <c r="H15" s="5" t="n">
        <v>0.01</v>
      </c>
      <c r="I15" s="5" t="n">
        <v>0.1377832186992815</v>
      </c>
      <c r="J15" s="5" t="n">
        <v>0.1477832186992815</v>
      </c>
      <c r="K15" s="2" t="inlineStr">
        <is>
          <t>In target</t>
        </is>
      </c>
    </row>
    <row r="16">
      <c r="A16" s="2" t="inlineStr">
        <is>
          <t>Aggressive Growth</t>
        </is>
      </c>
      <c r="B16" s="5" t="n">
        <v>0.07063999999999999</v>
      </c>
      <c r="C16" s="5" t="n">
        <v>0.167147</v>
      </c>
      <c r="D16" s="6" t="n">
        <v>0.237157</v>
      </c>
      <c r="E16" s="5" t="n">
        <v>0.99</v>
      </c>
      <c r="F16" s="5" t="n">
        <v>0</v>
      </c>
      <c r="G16" s="5" t="n">
        <v>0</v>
      </c>
      <c r="H16" s="5" t="n">
        <v>0.01</v>
      </c>
      <c r="I16" s="5" t="n">
        <v>0.1576876655884257</v>
      </c>
      <c r="J16" s="5" t="n">
        <v>0.1676876655884257</v>
      </c>
      <c r="K16" s="2" t="inlineStr">
        <is>
          <t>In target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1" t="inlineStr">
        <is>
          <t>Good Economy Optimized Overall Allocation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Portfolio</t>
        </is>
      </c>
      <c r="B20" s="2" t="inlineStr">
        <is>
          <t>Expected Return</t>
        </is>
      </c>
      <c r="C20" s="2" t="inlineStr">
        <is>
          <t>Volatility</t>
        </is>
      </c>
      <c r="D20" s="2" t="inlineStr">
        <is>
          <t>Sharpe</t>
        </is>
      </c>
      <c r="E20" s="2" t="inlineStr">
        <is>
          <t>Equity</t>
        </is>
      </c>
      <c r="F20" s="2" t="inlineStr">
        <is>
          <t>Fixed Income</t>
        </is>
      </c>
      <c r="G20" s="2" t="inlineStr">
        <is>
          <t>Alternatives</t>
        </is>
      </c>
      <c r="H20" s="2" t="inlineStr">
        <is>
          <t>Cash</t>
        </is>
      </c>
      <c r="I20" s="2" t="inlineStr">
        <is>
          <t>Target Vol Min</t>
        </is>
      </c>
      <c r="J20" s="2" t="inlineStr">
        <is>
          <t>Target Vol Max</t>
        </is>
      </c>
      <c r="K20" s="2" t="inlineStr">
        <is>
          <t>Target Status</t>
        </is>
      </c>
    </row>
    <row r="21">
      <c r="A21" s="2" t="inlineStr">
        <is>
          <t>Conservative</t>
        </is>
      </c>
      <c r="B21" s="5" t="n">
        <v>0.110039</v>
      </c>
      <c r="C21" s="5" t="n">
        <v>0.083325</v>
      </c>
      <c r="D21" s="6" t="n">
        <v>0.9485710000000001</v>
      </c>
      <c r="E21" s="5" t="n">
        <v>0.409057</v>
      </c>
      <c r="F21" s="5" t="n">
        <v>0.580943</v>
      </c>
      <c r="G21" s="5" t="n">
        <v>0</v>
      </c>
      <c r="H21" s="5" t="n">
        <v>0.01</v>
      </c>
      <c r="I21" s="5" t="n">
        <v>0.07332472972620824</v>
      </c>
      <c r="J21" s="5" t="n">
        <v>0.08332472972620825</v>
      </c>
      <c r="K21" s="2" t="inlineStr">
        <is>
          <t>In target</t>
        </is>
      </c>
    </row>
    <row r="22">
      <c r="A22" s="2" t="inlineStr">
        <is>
          <t>Balanced</t>
        </is>
      </c>
      <c r="B22" s="5" t="n">
        <v>0.131815</v>
      </c>
      <c r="C22" s="5" t="n">
        <v>0.115447</v>
      </c>
      <c r="D22" s="6" t="n">
        <v>0.8732569999999999</v>
      </c>
      <c r="E22" s="5" t="n">
        <v>0.64</v>
      </c>
      <c r="F22" s="5" t="n">
        <v>0.35</v>
      </c>
      <c r="G22" s="5" t="n">
        <v>0</v>
      </c>
      <c r="H22" s="5" t="n">
        <v>0.01</v>
      </c>
      <c r="I22" s="5" t="n">
        <v>0.1054471964394289</v>
      </c>
      <c r="J22" s="5" t="n">
        <v>0.1154471964394289</v>
      </c>
      <c r="K22" s="2" t="inlineStr">
        <is>
          <t>In target</t>
        </is>
      </c>
    </row>
    <row r="23">
      <c r="A23" s="2" t="inlineStr">
        <is>
          <t>Moderate</t>
        </is>
      </c>
      <c r="B23" s="5" t="n">
        <v>0.13959</v>
      </c>
      <c r="C23" s="5" t="n">
        <v>0.129065</v>
      </c>
      <c r="D23" s="6" t="n">
        <v>0.841361</v>
      </c>
      <c r="E23" s="5" t="n">
        <v>0.735525</v>
      </c>
      <c r="F23" s="5" t="n">
        <v>0.254475</v>
      </c>
      <c r="G23" s="5" t="n">
        <v>0</v>
      </c>
      <c r="H23" s="5" t="n">
        <v>0.01</v>
      </c>
      <c r="I23" s="5" t="n">
        <v>0.1230651077209465</v>
      </c>
      <c r="J23" s="5" t="n">
        <v>0.1290651077209465</v>
      </c>
      <c r="K23" s="2" t="inlineStr">
        <is>
          <t>In target</t>
        </is>
      </c>
    </row>
    <row r="24">
      <c r="A24" s="2" t="inlineStr">
        <is>
          <t>Growth</t>
        </is>
      </c>
      <c r="B24" s="5" t="n">
        <v>0.149093</v>
      </c>
      <c r="C24" s="5" t="n">
        <v>0.147783</v>
      </c>
      <c r="D24" s="6" t="n">
        <v>0.799099</v>
      </c>
      <c r="E24" s="5" t="n">
        <v>0.85</v>
      </c>
      <c r="F24" s="5" t="n">
        <v>0.14</v>
      </c>
      <c r="G24" s="5" t="n">
        <v>0</v>
      </c>
      <c r="H24" s="5" t="n">
        <v>0.01</v>
      </c>
      <c r="I24" s="5" t="n">
        <v>0.1377832186992815</v>
      </c>
      <c r="J24" s="5" t="n">
        <v>0.1477832186992815</v>
      </c>
      <c r="K24" s="2" t="inlineStr">
        <is>
          <t>In target</t>
        </is>
      </c>
    </row>
    <row r="25">
      <c r="A25" s="2" t="inlineStr">
        <is>
          <t>Aggressive Growth</t>
        </is>
      </c>
      <c r="B25" s="5" t="n">
        <v>0.158841</v>
      </c>
      <c r="C25" s="5" t="n">
        <v>0.167147</v>
      </c>
      <c r="D25" s="6" t="n">
        <v>0.764844</v>
      </c>
      <c r="E25" s="5" t="n">
        <v>0.99</v>
      </c>
      <c r="F25" s="5" t="n">
        <v>0</v>
      </c>
      <c r="G25" s="5" t="n">
        <v>0</v>
      </c>
      <c r="H25" s="5" t="n">
        <v>0.01</v>
      </c>
      <c r="I25" s="5" t="n">
        <v>0.1576876655884257</v>
      </c>
      <c r="J25" s="5" t="n">
        <v>0.1676876655884257</v>
      </c>
      <c r="K25" s="2" t="inlineStr">
        <is>
          <t>In target</t>
        </is>
      </c>
    </row>
  </sheetData>
  <mergeCells count="3">
    <mergeCell ref="A19:H19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34" customWidth="1" min="4" max="4"/>
    <col width="21" customWidth="1" min="5" max="5"/>
    <col width="21" customWidth="1" min="6" max="6"/>
    <col width="34" customWidth="1" min="7" max="7"/>
  </cols>
  <sheetData>
    <row r="1">
      <c r="A1" s="1" t="inlineStr">
        <is>
          <t>Portfolio</t>
        </is>
      </c>
      <c r="B1" s="1" t="inlineStr">
        <is>
          <t>Category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Target Vol Min</t>
        </is>
      </c>
      <c r="F1" s="1" t="inlineStr">
        <is>
          <t>Target Vol Max</t>
        </is>
      </c>
      <c r="G1" s="1" t="inlineStr">
        <is>
          <t>Notes</t>
        </is>
      </c>
    </row>
    <row r="2">
      <c r="A2" s="2" t="inlineStr">
        <is>
          <t>Conservative</t>
        </is>
      </c>
      <c r="B2" s="7" t="inlineStr">
        <is>
          <t>Equity</t>
        </is>
      </c>
      <c r="C2" s="7" t="n">
        <v>0.3</v>
      </c>
      <c r="D2" s="7" t="n">
        <v>0.5</v>
      </c>
      <c r="E2" s="7" t="n">
        <v>0.07332472972620824</v>
      </c>
      <c r="F2" s="7" t="n">
        <v>0.08332472972620825</v>
      </c>
      <c r="G2" s="9" t="inlineStr">
        <is>
          <t>Editable policy band used by optimizer script</t>
        </is>
      </c>
    </row>
    <row r="3">
      <c r="A3" s="2" t="inlineStr">
        <is>
          <t>Conservative</t>
        </is>
      </c>
      <c r="B3" s="7" t="inlineStr">
        <is>
          <t>Fixed Income</t>
        </is>
      </c>
      <c r="C3" s="7" t="n">
        <v>0.55</v>
      </c>
      <c r="D3" s="7" t="n">
        <v>0.75</v>
      </c>
      <c r="E3" s="7" t="n">
        <v>0.07332472972620824</v>
      </c>
      <c r="F3" s="7" t="n">
        <v>0.08332472972620825</v>
      </c>
      <c r="G3" s="9" t="inlineStr">
        <is>
          <t>Editable policy band used by optimizer script</t>
        </is>
      </c>
    </row>
    <row r="4">
      <c r="A4" s="2" t="inlineStr">
        <is>
          <t>Conservative</t>
        </is>
      </c>
      <c r="B4" s="7" t="inlineStr">
        <is>
          <t>Alternatives</t>
        </is>
      </c>
      <c r="C4" s="7" t="n">
        <v>0</v>
      </c>
      <c r="D4" s="7" t="n">
        <v>0</v>
      </c>
      <c r="E4" s="7" t="n">
        <v>0.07332472972620824</v>
      </c>
      <c r="F4" s="7" t="n">
        <v>0.08332472972620825</v>
      </c>
      <c r="G4" s="9" t="inlineStr">
        <is>
          <t>Editable policy band used by optimizer script</t>
        </is>
      </c>
    </row>
    <row r="5">
      <c r="A5" s="2" t="inlineStr">
        <is>
          <t>Conservative</t>
        </is>
      </c>
      <c r="B5" s="7" t="inlineStr">
        <is>
          <t>Cash</t>
        </is>
      </c>
      <c r="C5" s="7" t="n">
        <v>0.01</v>
      </c>
      <c r="D5" s="7" t="n">
        <v>0.01</v>
      </c>
      <c r="E5" s="7" t="n">
        <v>0.07332472972620824</v>
      </c>
      <c r="F5" s="7" t="n">
        <v>0.08332472972620825</v>
      </c>
      <c r="G5" s="9" t="inlineStr">
        <is>
          <t>Editable policy band used by optimizer script</t>
        </is>
      </c>
    </row>
    <row r="6">
      <c r="A6" s="2" t="inlineStr">
        <is>
          <t>Balanced</t>
        </is>
      </c>
      <c r="B6" s="7" t="inlineStr">
        <is>
          <t>Equity</t>
        </is>
      </c>
      <c r="C6" s="7" t="n">
        <v>0.55</v>
      </c>
      <c r="D6" s="7" t="n">
        <v>0.65</v>
      </c>
      <c r="E6" s="7" t="n">
        <v>0.1054471964394289</v>
      </c>
      <c r="F6" s="7" t="n">
        <v>0.1154471964394289</v>
      </c>
      <c r="G6" s="9" t="inlineStr">
        <is>
          <t>Editable policy band used by optimizer script</t>
        </is>
      </c>
    </row>
    <row r="7">
      <c r="A7" s="2" t="inlineStr">
        <is>
          <t>Balanced</t>
        </is>
      </c>
      <c r="B7" s="7" t="inlineStr">
        <is>
          <t>Fixed Income</t>
        </is>
      </c>
      <c r="C7" s="7" t="n">
        <v>0.35</v>
      </c>
      <c r="D7" s="7" t="n">
        <v>0.55</v>
      </c>
      <c r="E7" s="7" t="n">
        <v>0.1054471964394289</v>
      </c>
      <c r="F7" s="7" t="n">
        <v>0.1154471964394289</v>
      </c>
      <c r="G7" s="9" t="inlineStr">
        <is>
          <t>Editable policy band used by optimizer script</t>
        </is>
      </c>
    </row>
    <row r="8">
      <c r="A8" s="2" t="inlineStr">
        <is>
          <t>Balanced</t>
        </is>
      </c>
      <c r="B8" s="7" t="inlineStr">
        <is>
          <t>Alternatives</t>
        </is>
      </c>
      <c r="C8" s="7" t="n">
        <v>0</v>
      </c>
      <c r="D8" s="7" t="n">
        <v>0</v>
      </c>
      <c r="E8" s="7" t="n">
        <v>0.1054471964394289</v>
      </c>
      <c r="F8" s="7" t="n">
        <v>0.1154471964394289</v>
      </c>
      <c r="G8" s="9" t="inlineStr">
        <is>
          <t>Editable policy band used by optimizer script</t>
        </is>
      </c>
    </row>
    <row r="9">
      <c r="A9" s="2" t="inlineStr">
        <is>
          <t>Balanced</t>
        </is>
      </c>
      <c r="B9" s="7" t="inlineStr">
        <is>
          <t>Cash</t>
        </is>
      </c>
      <c r="C9" s="7" t="n">
        <v>0.01</v>
      </c>
      <c r="D9" s="7" t="n">
        <v>0.01</v>
      </c>
      <c r="E9" s="7" t="n">
        <v>0.1054471964394289</v>
      </c>
      <c r="F9" s="7" t="n">
        <v>0.1154471964394289</v>
      </c>
      <c r="G9" s="9" t="inlineStr">
        <is>
          <t>Editable policy band used by optimizer script</t>
        </is>
      </c>
    </row>
    <row r="10">
      <c r="A10" s="2" t="inlineStr">
        <is>
          <t>Moderate</t>
        </is>
      </c>
      <c r="B10" s="7" t="inlineStr">
        <is>
          <t>Equity</t>
        </is>
      </c>
      <c r="C10" s="7" t="n">
        <v>0.65</v>
      </c>
      <c r="D10" s="7" t="n">
        <v>0.75</v>
      </c>
      <c r="E10" s="7" t="n">
        <v>0.1230651077209465</v>
      </c>
      <c r="F10" s="7" t="n">
        <v>0.1290651077209465</v>
      </c>
      <c r="G10" s="9" t="inlineStr">
        <is>
          <t>Editable policy band used by optimizer script</t>
        </is>
      </c>
    </row>
    <row r="11">
      <c r="A11" s="2" t="inlineStr">
        <is>
          <t>Moderate</t>
        </is>
      </c>
      <c r="B11" s="7" t="inlineStr">
        <is>
          <t>Fixed Income</t>
        </is>
      </c>
      <c r="C11" s="7" t="n">
        <v>0.25</v>
      </c>
      <c r="D11" s="7" t="n">
        <v>0.4</v>
      </c>
      <c r="E11" s="7" t="n">
        <v>0.1230651077209465</v>
      </c>
      <c r="F11" s="7" t="n">
        <v>0.1290651077209465</v>
      </c>
      <c r="G11" s="9" t="inlineStr">
        <is>
          <t>Editable policy band used by optimizer script</t>
        </is>
      </c>
    </row>
    <row r="12">
      <c r="A12" s="2" t="inlineStr">
        <is>
          <t>Moderate</t>
        </is>
      </c>
      <c r="B12" s="7" t="inlineStr">
        <is>
          <t>Alternatives</t>
        </is>
      </c>
      <c r="C12" s="7" t="n">
        <v>0</v>
      </c>
      <c r="D12" s="7" t="n">
        <v>0</v>
      </c>
      <c r="E12" s="7" t="n">
        <v>0.1230651077209465</v>
      </c>
      <c r="F12" s="7" t="n">
        <v>0.1290651077209465</v>
      </c>
      <c r="G12" s="9" t="inlineStr">
        <is>
          <t>Editable policy band used by optimizer script</t>
        </is>
      </c>
    </row>
    <row r="13">
      <c r="A13" s="2" t="inlineStr">
        <is>
          <t>Moderate</t>
        </is>
      </c>
      <c r="B13" s="7" t="inlineStr">
        <is>
          <t>Cash</t>
        </is>
      </c>
      <c r="C13" s="7" t="n">
        <v>0.01</v>
      </c>
      <c r="D13" s="7" t="n">
        <v>0.01</v>
      </c>
      <c r="E13" s="7" t="n">
        <v>0.1230651077209465</v>
      </c>
      <c r="F13" s="7" t="n">
        <v>0.1290651077209465</v>
      </c>
      <c r="G13" s="9" t="inlineStr">
        <is>
          <t>Editable policy band used by optimizer script</t>
        </is>
      </c>
    </row>
    <row r="14">
      <c r="A14" s="2" t="inlineStr">
        <is>
          <t>Growth</t>
        </is>
      </c>
      <c r="B14" s="7" t="inlineStr">
        <is>
          <t>Equity</t>
        </is>
      </c>
      <c r="C14" s="7" t="n">
        <v>0.75</v>
      </c>
      <c r="D14" s="7" t="n">
        <v>0.85</v>
      </c>
      <c r="E14" s="7" t="n">
        <v>0.1377832186992815</v>
      </c>
      <c r="F14" s="7" t="n">
        <v>0.1477832186992815</v>
      </c>
      <c r="G14" s="9" t="inlineStr">
        <is>
          <t>Editable policy band used by optimizer script</t>
        </is>
      </c>
    </row>
    <row r="15">
      <c r="A15" s="2" t="inlineStr">
        <is>
          <t>Growth</t>
        </is>
      </c>
      <c r="B15" s="7" t="inlineStr">
        <is>
          <t>Fixed Income</t>
        </is>
      </c>
      <c r="C15" s="7" t="n">
        <v>0.1</v>
      </c>
      <c r="D15" s="7" t="n">
        <v>0.25</v>
      </c>
      <c r="E15" s="7" t="n">
        <v>0.1377832186992815</v>
      </c>
      <c r="F15" s="7" t="n">
        <v>0.1477832186992815</v>
      </c>
      <c r="G15" s="9" t="inlineStr">
        <is>
          <t>Editable policy band used by optimizer script</t>
        </is>
      </c>
    </row>
    <row r="16">
      <c r="A16" s="2" t="inlineStr">
        <is>
          <t>Growth</t>
        </is>
      </c>
      <c r="B16" s="7" t="inlineStr">
        <is>
          <t>Alternatives</t>
        </is>
      </c>
      <c r="C16" s="7" t="n">
        <v>0</v>
      </c>
      <c r="D16" s="7" t="n">
        <v>0</v>
      </c>
      <c r="E16" s="7" t="n">
        <v>0.1377832186992815</v>
      </c>
      <c r="F16" s="7" t="n">
        <v>0.1477832186992815</v>
      </c>
      <c r="G16" s="9" t="inlineStr">
        <is>
          <t>Editable policy band used by optimizer script</t>
        </is>
      </c>
    </row>
    <row r="17">
      <c r="A17" s="2" t="inlineStr">
        <is>
          <t>Growth</t>
        </is>
      </c>
      <c r="B17" s="7" t="inlineStr">
        <is>
          <t>Cash</t>
        </is>
      </c>
      <c r="C17" s="7" t="n">
        <v>0.01</v>
      </c>
      <c r="D17" s="7" t="n">
        <v>0.01</v>
      </c>
      <c r="E17" s="7" t="n">
        <v>0.1377832186992815</v>
      </c>
      <c r="F17" s="7" t="n">
        <v>0.1477832186992815</v>
      </c>
      <c r="G17" s="9" t="inlineStr">
        <is>
          <t>Editable policy band used by optimizer script</t>
        </is>
      </c>
    </row>
    <row r="18">
      <c r="A18" s="2" t="inlineStr">
        <is>
          <t>Aggressive Growth</t>
        </is>
      </c>
      <c r="B18" s="7" t="inlineStr">
        <is>
          <t>Equity</t>
        </is>
      </c>
      <c r="C18" s="7" t="n">
        <v>0.9</v>
      </c>
      <c r="D18" s="7" t="n">
        <v>1</v>
      </c>
      <c r="E18" s="7" t="n">
        <v>0.1576876655884257</v>
      </c>
      <c r="F18" s="7" t="n">
        <v>0.1676876655884257</v>
      </c>
      <c r="G18" s="9" t="inlineStr">
        <is>
          <t>Editable policy band used by optimizer script</t>
        </is>
      </c>
    </row>
    <row r="19">
      <c r="A19" s="2" t="inlineStr">
        <is>
          <t>Aggressive Growth</t>
        </is>
      </c>
      <c r="B19" s="7" t="inlineStr">
        <is>
          <t>Fixed Income</t>
        </is>
      </c>
      <c r="C19" s="7" t="n">
        <v>0</v>
      </c>
      <c r="D19" s="7" t="n">
        <v>0.12</v>
      </c>
      <c r="E19" s="7" t="n">
        <v>0.1576876655884257</v>
      </c>
      <c r="F19" s="7" t="n">
        <v>0.1676876655884257</v>
      </c>
      <c r="G19" s="9" t="inlineStr">
        <is>
          <t>Editable policy band used by optimizer script</t>
        </is>
      </c>
    </row>
    <row r="20">
      <c r="A20" s="2" t="inlineStr">
        <is>
          <t>Aggressive Growth</t>
        </is>
      </c>
      <c r="B20" s="7" t="inlineStr">
        <is>
          <t>Alternatives</t>
        </is>
      </c>
      <c r="C20" s="7" t="n">
        <v>0</v>
      </c>
      <c r="D20" s="7" t="n">
        <v>0</v>
      </c>
      <c r="E20" s="7" t="n">
        <v>0.1576876655884257</v>
      </c>
      <c r="F20" s="7" t="n">
        <v>0.1676876655884257</v>
      </c>
      <c r="G20" s="9" t="inlineStr">
        <is>
          <t>Editable policy band used by optimizer script</t>
        </is>
      </c>
    </row>
    <row r="21">
      <c r="A21" s="2" t="inlineStr">
        <is>
          <t>Aggressive Growth</t>
        </is>
      </c>
      <c r="B21" s="7" t="inlineStr">
        <is>
          <t>Cash</t>
        </is>
      </c>
      <c r="C21" s="7" t="n">
        <v>0.01</v>
      </c>
      <c r="D21" s="7" t="n">
        <v>0.01</v>
      </c>
      <c r="E21" s="7" t="n">
        <v>0.1576876655884257</v>
      </c>
      <c r="F21" s="7" t="n">
        <v>0.1676876655884257</v>
      </c>
      <c r="G21" s="9" t="inlineStr">
        <is>
          <t>Editable policy band used by optimizer script</t>
        </is>
      </c>
    </row>
    <row r="22">
      <c r="A22" s="2" t="n"/>
      <c r="B22" s="7" t="n"/>
      <c r="C22" s="7" t="n"/>
      <c r="D22" s="7" t="n"/>
      <c r="E22" s="7" t="n"/>
      <c r="F22" s="7" t="n"/>
      <c r="G22" s="9" t="n"/>
    </row>
    <row r="23">
      <c r="A23" s="2" t="inlineStr">
        <is>
          <t>Asset</t>
        </is>
      </c>
      <c r="B23" s="7" t="inlineStr">
        <is>
          <t>Sleeve Range Min</t>
        </is>
      </c>
      <c r="C23" s="7" t="inlineStr">
        <is>
          <t>Sleeve Range Max</t>
        </is>
      </c>
      <c r="D23" s="7" t="inlineStr">
        <is>
          <t>Notes</t>
        </is>
      </c>
      <c r="E23" s="7" t="n"/>
      <c r="F23" s="7" t="n"/>
      <c r="G23" s="9" t="n"/>
    </row>
    <row r="24">
      <c r="A24" s="2" t="inlineStr">
        <is>
          <t>U.S. Large Cap</t>
        </is>
      </c>
      <c r="B24" s="7" t="n">
        <v>0.2</v>
      </c>
      <c r="C24" s="7" t="n">
        <v>0.45</v>
      </c>
      <c r="D24" s="7" t="inlineStr">
        <is>
          <t>Direct asset-level bounds used by optimizer</t>
        </is>
      </c>
      <c r="E24" s="7" t="n"/>
      <c r="F24" s="7" t="n"/>
      <c r="G24" s="9" t="n"/>
    </row>
    <row r="25">
      <c r="A25" s="2" t="inlineStr">
        <is>
          <t>U.S. Mid Cap</t>
        </is>
      </c>
      <c r="B25" s="7" t="n">
        <v>0</v>
      </c>
      <c r="C25" s="7" t="n">
        <v>0.2</v>
      </c>
      <c r="D25" s="7" t="inlineStr">
        <is>
          <t>Direct asset-level bounds used by optimizer</t>
        </is>
      </c>
      <c r="E25" s="7" t="n"/>
      <c r="F25" s="7" t="n"/>
      <c r="G25" s="9" t="n"/>
    </row>
    <row r="26">
      <c r="A26" s="2" t="inlineStr">
        <is>
          <t>U.S. Small Cap</t>
        </is>
      </c>
      <c r="B26" s="7" t="n">
        <v>0</v>
      </c>
      <c r="C26" s="7" t="n">
        <v>0.05</v>
      </c>
      <c r="D26" s="7" t="inlineStr">
        <is>
          <t>Direct asset-level bounds used by optimizer</t>
        </is>
      </c>
      <c r="E26" s="7" t="n"/>
      <c r="F26" s="7" t="n"/>
      <c r="G26" s="9" t="n"/>
    </row>
    <row r="27">
      <c r="A27" s="2" t="inlineStr">
        <is>
          <t>International Developed Equity</t>
        </is>
      </c>
      <c r="B27" s="7" t="n">
        <v>0.1</v>
      </c>
      <c r="C27" s="7" t="n">
        <v>0.2</v>
      </c>
      <c r="D27" s="7" t="inlineStr">
        <is>
          <t>Direct asset-level bounds used by optimizer</t>
        </is>
      </c>
      <c r="E27" s="7" t="n"/>
      <c r="F27" s="7" t="n"/>
      <c r="G27" s="9" t="n"/>
    </row>
    <row r="28">
      <c r="A28" s="2" t="inlineStr">
        <is>
          <t>Emerging Markets Equity</t>
        </is>
      </c>
      <c r="B28" s="7" t="n">
        <v>0</v>
      </c>
      <c r="C28" s="7" t="n">
        <v>0.1</v>
      </c>
      <c r="D28" s="7" t="inlineStr">
        <is>
          <t>Direct asset-level bounds used by optimizer</t>
        </is>
      </c>
      <c r="E28" s="7" t="n"/>
      <c r="F28" s="7" t="n"/>
      <c r="G28" s="9" t="n"/>
    </row>
    <row r="29">
      <c r="A29" s="2" t="inlineStr">
        <is>
          <t>U.S. REITs</t>
        </is>
      </c>
      <c r="B29" s="7" t="n">
        <v>0</v>
      </c>
      <c r="C29" s="7" t="n">
        <v>0</v>
      </c>
      <c r="D29" s="7" t="inlineStr">
        <is>
          <t>Direct asset-level bounds used by optimizer</t>
        </is>
      </c>
      <c r="E29" s="7" t="n"/>
      <c r="F29" s="7" t="n"/>
      <c r="G29" s="9" t="n"/>
    </row>
    <row r="30">
      <c r="A30" s="2" t="inlineStr">
        <is>
          <t>Commodities</t>
        </is>
      </c>
      <c r="B30" s="7" t="n">
        <v>0</v>
      </c>
      <c r="C30" s="7" t="n">
        <v>0</v>
      </c>
      <c r="D30" s="7" t="inlineStr">
        <is>
          <t>Direct asset-level bounds used by optimizer</t>
        </is>
      </c>
      <c r="E30" s="7" t="n"/>
      <c r="F30" s="7" t="n"/>
      <c r="G30" s="9" t="n"/>
    </row>
    <row r="31">
      <c r="A31" s="2" t="inlineStr">
        <is>
          <t>Income U.S. - U.S. Treasury</t>
        </is>
      </c>
      <c r="B31" s="7" t="n">
        <v>0</v>
      </c>
      <c r="C31" s="7" t="n">
        <v>0.45</v>
      </c>
      <c r="D31" s="7" t="inlineStr">
        <is>
          <t>Direct asset-level bounds used by optimizer</t>
        </is>
      </c>
      <c r="E31" s="7" t="n"/>
      <c r="F31" s="7" t="n"/>
      <c r="G31" s="9" t="n"/>
    </row>
    <row r="32">
      <c r="A32" s="2" t="inlineStr">
        <is>
          <t>Income U.S. Government Related</t>
        </is>
      </c>
      <c r="B32" s="7" t="n">
        <v>0</v>
      </c>
      <c r="C32" s="7" t="n">
        <v>0.35</v>
      </c>
      <c r="D32" s="7" t="inlineStr">
        <is>
          <t>Direct asset-level bounds used by optimizer</t>
        </is>
      </c>
      <c r="E32" s="7" t="n"/>
      <c r="F32" s="7" t="n"/>
      <c r="G32" s="9" t="n"/>
    </row>
    <row r="33">
      <c r="A33" s="2" t="inlineStr">
        <is>
          <t>Income U.S. Corporate</t>
        </is>
      </c>
      <c r="B33" s="7" t="n">
        <v>0</v>
      </c>
      <c r="C33" s="7" t="n">
        <v>0.4</v>
      </c>
      <c r="D33" s="7" t="inlineStr">
        <is>
          <t>Direct asset-level bounds used by optimizer</t>
        </is>
      </c>
      <c r="E33" s="7" t="n"/>
      <c r="F33" s="7" t="n"/>
      <c r="G33" s="9" t="n"/>
    </row>
    <row r="34">
      <c r="A34" s="2" t="inlineStr">
        <is>
          <t>Income U.S. Securitized</t>
        </is>
      </c>
      <c r="B34" s="7" t="n">
        <v>0</v>
      </c>
      <c r="C34" s="7" t="n">
        <v>0.03</v>
      </c>
      <c r="D34" s="7" t="inlineStr">
        <is>
          <t>Direct asset-level bounds used by optimizer</t>
        </is>
      </c>
      <c r="E34" s="7" t="n"/>
      <c r="F34" s="7" t="n"/>
      <c r="G34" s="9" t="n"/>
    </row>
    <row r="35">
      <c r="A35" s="2" t="inlineStr">
        <is>
          <t>Fixed Income International</t>
        </is>
      </c>
      <c r="B35" s="7" t="n">
        <v>0</v>
      </c>
      <c r="C35" s="7" t="n">
        <v>0.1</v>
      </c>
      <c r="D35" s="7" t="inlineStr">
        <is>
          <t>Direct asset-level bounds used by optimizer</t>
        </is>
      </c>
      <c r="E35" s="7" t="n"/>
      <c r="F35" s="7" t="n"/>
      <c r="G35" s="9" t="n"/>
    </row>
    <row r="36">
      <c r="A36" s="2" t="inlineStr">
        <is>
          <t>Other Fixed Income</t>
        </is>
      </c>
      <c r="B36" s="7" t="n">
        <v>0</v>
      </c>
      <c r="C36" s="7" t="n">
        <v>0.01</v>
      </c>
      <c r="D36" s="7" t="inlineStr">
        <is>
          <t>Direct asset-level bounds used by optimizer</t>
        </is>
      </c>
      <c r="E36" s="7" t="n"/>
      <c r="F36" s="7" t="n"/>
      <c r="G36" s="9" t="n"/>
    </row>
    <row r="37">
      <c r="A37" s="2" t="inlineStr">
        <is>
          <t>Cash</t>
        </is>
      </c>
      <c r="B37" s="7" t="n">
        <v>0.01</v>
      </c>
      <c r="C37" s="7" t="n">
        <v>0.01</v>
      </c>
      <c r="D37" s="7" t="inlineStr">
        <is>
          <t>Direct asset-level bounds used by optimizer</t>
        </is>
      </c>
      <c r="E37" s="7" t="n"/>
      <c r="F37" s="7" t="n"/>
      <c r="G37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0" customWidth="1" min="3" max="3"/>
    <col width="12" customWidth="1" min="4" max="4"/>
    <col width="11" customWidth="1" min="5" max="5"/>
    <col width="34" customWidth="1" min="6" max="6"/>
    <col width="34" customWidth="1" min="7" max="7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Difference</t>
        </is>
      </c>
      <c r="E1" s="1" t="inlineStr">
        <is>
          <t>Tolerance</t>
        </is>
      </c>
      <c r="F1" s="1" t="inlineStr">
        <is>
          <t>Status</t>
        </is>
      </c>
      <c r="G1" s="1" t="inlineStr">
        <is>
          <t>Model Status</t>
        </is>
      </c>
    </row>
    <row r="2">
      <c r="A2" s="2" t="inlineStr">
        <is>
          <t>Conservative MVO weights sum to 100%</t>
        </is>
      </c>
      <c r="B2" s="10">
        <f>'MVO Detail'!C17</f>
        <v/>
      </c>
      <c r="C2" s="10" t="n">
        <v>1</v>
      </c>
      <c r="D2" s="10">
        <f>B2-C2</f>
        <v/>
      </c>
      <c r="E2" s="10" t="n">
        <v>0.0001</v>
      </c>
      <c r="F2" s="2">
        <f>IF(ABS(D2)&lt;=E2,"OK","Review")</f>
        <v/>
      </c>
      <c r="G2" s="2">
        <f>IF(COUNTIF(F2:F2,"Review")=0,"OK","Review")</f>
        <v/>
      </c>
    </row>
    <row r="3">
      <c r="A3" s="2" t="inlineStr">
        <is>
          <t>Balanced MVO weights sum to 100%</t>
        </is>
      </c>
      <c r="B3" s="10">
        <f>'MVO Detail'!D17</f>
        <v/>
      </c>
      <c r="C3" s="10" t="n">
        <v>1</v>
      </c>
      <c r="D3" s="10">
        <f>B3-C3</f>
        <v/>
      </c>
      <c r="E3" s="10" t="n">
        <v>0.0001</v>
      </c>
      <c r="F3" s="2">
        <f>IF(ABS(D3)&lt;=E3,"OK","Review")</f>
        <v/>
      </c>
      <c r="G3" s="2">
        <f>IF(COUNTIF(F2:F3,"Review")=0,"OK","Review")</f>
        <v/>
      </c>
    </row>
    <row r="4">
      <c r="A4" s="2" t="inlineStr">
        <is>
          <t>Moderate MVO weights sum to 100%</t>
        </is>
      </c>
      <c r="B4" s="10">
        <f>'MVO Detail'!E17</f>
        <v/>
      </c>
      <c r="C4" s="10" t="n">
        <v>1</v>
      </c>
      <c r="D4" s="10">
        <f>B4-C4</f>
        <v/>
      </c>
      <c r="E4" s="10" t="n">
        <v>0.0001</v>
      </c>
      <c r="F4" s="2">
        <f>IF(ABS(D4)&lt;=E4,"OK","Review")</f>
        <v/>
      </c>
      <c r="G4" s="2">
        <f>IF(COUNTIF(F2:F4,"Review")=0,"OK","Review")</f>
        <v/>
      </c>
    </row>
    <row r="5">
      <c r="A5" s="2" t="inlineStr">
        <is>
          <t>Growth MVO weights sum to 100%</t>
        </is>
      </c>
      <c r="B5" s="10">
        <f>'MVO Detail'!F17</f>
        <v/>
      </c>
      <c r="C5" s="10" t="n">
        <v>1</v>
      </c>
      <c r="D5" s="10">
        <f>B5-C5</f>
        <v/>
      </c>
      <c r="E5" s="10" t="n">
        <v>0.0001</v>
      </c>
      <c r="F5" s="2">
        <f>IF(ABS(D5)&lt;=E5,"OK","Review")</f>
        <v/>
      </c>
      <c r="G5" s="2">
        <f>IF(COUNTIF(F2:F5,"Review")=0,"OK","Review")</f>
        <v/>
      </c>
    </row>
    <row r="6">
      <c r="A6" s="2" t="inlineStr">
        <is>
          <t>Aggressive Growth MVO weights sum to 100%</t>
        </is>
      </c>
      <c r="B6" s="10">
        <f>'MVO Detail'!G17</f>
        <v/>
      </c>
      <c r="C6" s="10" t="n">
        <v>1</v>
      </c>
      <c r="D6" s="10">
        <f>B6-C6</f>
        <v/>
      </c>
      <c r="E6" s="10" t="n">
        <v>0.0001</v>
      </c>
      <c r="F6" s="2">
        <f>IF(ABS(D6)&lt;=E6,"OK","Review")</f>
        <v/>
      </c>
      <c r="G6" s="2">
        <f>IF(COUNTIF(F2:F6,"Review")=0,"OK","Review")</f>
        <v/>
      </c>
    </row>
    <row r="7">
      <c r="A7" s="2" t="inlineStr">
        <is>
          <t>Conservative MVO cash equals 1%</t>
        </is>
      </c>
      <c r="B7" s="10">
        <f>'MVO Detail'!C15</f>
        <v/>
      </c>
      <c r="C7" s="10" t="n">
        <v>0.01</v>
      </c>
      <c r="D7" s="10">
        <f>B7-C7</f>
        <v/>
      </c>
      <c r="E7" s="10" t="n">
        <v>0.0001</v>
      </c>
      <c r="F7" s="2">
        <f>IF(ABS(D7)&lt;=E7,"OK","Review")</f>
        <v/>
      </c>
      <c r="G7" s="2" t="inlineStr"/>
    </row>
    <row r="8">
      <c r="A8" s="2" t="inlineStr">
        <is>
          <t>Balanced MVO cash equals 1%</t>
        </is>
      </c>
      <c r="B8" s="10">
        <f>'MVO Detail'!D15</f>
        <v/>
      </c>
      <c r="C8" s="10" t="n">
        <v>0.01</v>
      </c>
      <c r="D8" s="10">
        <f>B8-C8</f>
        <v/>
      </c>
      <c r="E8" s="10" t="n">
        <v>0.0001</v>
      </c>
      <c r="F8" s="2">
        <f>IF(ABS(D8)&lt;=E8,"OK","Review")</f>
        <v/>
      </c>
      <c r="G8" s="2" t="inlineStr"/>
    </row>
    <row r="9">
      <c r="A9" s="2" t="inlineStr">
        <is>
          <t>Moderate MVO cash equals 1%</t>
        </is>
      </c>
      <c r="B9" s="10">
        <f>'MVO Detail'!E15</f>
        <v/>
      </c>
      <c r="C9" s="10" t="n">
        <v>0.01</v>
      </c>
      <c r="D9" s="10">
        <f>B9-C9</f>
        <v/>
      </c>
      <c r="E9" s="10" t="n">
        <v>0.0001</v>
      </c>
      <c r="F9" s="2">
        <f>IF(ABS(D9)&lt;=E9,"OK","Review")</f>
        <v/>
      </c>
      <c r="G9" s="2" t="inlineStr"/>
    </row>
    <row r="10">
      <c r="A10" s="2" t="inlineStr">
        <is>
          <t>Growth MVO cash equals 1%</t>
        </is>
      </c>
      <c r="B10" s="10">
        <f>'MVO Detail'!F15</f>
        <v/>
      </c>
      <c r="C10" s="10" t="n">
        <v>0.01</v>
      </c>
      <c r="D10" s="10">
        <f>B10-C10</f>
        <v/>
      </c>
      <c r="E10" s="10" t="n">
        <v>0.0001</v>
      </c>
      <c r="F10" s="2">
        <f>IF(ABS(D10)&lt;=E10,"OK","Review")</f>
        <v/>
      </c>
      <c r="G10" s="2" t="inlineStr"/>
    </row>
    <row r="11">
      <c r="A11" s="2" t="inlineStr">
        <is>
          <t>Aggressive Growth MVO cash equals 1%</t>
        </is>
      </c>
      <c r="B11" s="10">
        <f>'MVO Detail'!G15</f>
        <v/>
      </c>
      <c r="C11" s="10" t="n">
        <v>0.01</v>
      </c>
      <c r="D11" s="10">
        <f>B11-C11</f>
        <v/>
      </c>
      <c r="E11" s="10" t="n">
        <v>0.0001</v>
      </c>
      <c r="F11" s="2">
        <f>IF(ABS(D11)&lt;=E11,"OK","Review")</f>
        <v/>
      </c>
      <c r="G11" s="2" t="inlineStr"/>
    </row>
    <row r="12">
      <c r="A12" s="2" t="inlineStr">
        <is>
          <t>All MVO sub-weights are non-negative</t>
        </is>
      </c>
      <c r="B12" s="10">
        <f>MIN('MVO Detail'!C2:G16)</f>
        <v/>
      </c>
      <c r="C12" s="10" t="n">
        <v>0</v>
      </c>
      <c r="D12" s="10">
        <f>B12-C12</f>
        <v/>
      </c>
      <c r="E12" s="10" t="n">
        <v>0</v>
      </c>
      <c r="F12" s="2">
        <f>IF(B12&gt;=0,"OK","Review")</f>
        <v/>
      </c>
      <c r="G1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Item</t>
        </is>
      </c>
      <c r="B1" s="1" t="inlineStr">
        <is>
          <t>Current Treatment</t>
        </is>
      </c>
      <c r="C1" s="1" t="inlineStr">
        <is>
          <t>What to Decide Next</t>
        </is>
      </c>
    </row>
    <row r="2">
      <c r="A2" s="11" t="inlineStr">
        <is>
          <t>Source file</t>
        </is>
      </c>
      <c r="B2" s="2" t="inlineStr">
        <is>
          <t>Matrix file read from C:\Users\hclevenger\Desktop\Paul Asset Allocation\inputs\matrix-usd.xlsx; compound return, annualized volatility, and correlations are used.</t>
        </is>
      </c>
      <c r="C2" s="2" t="inlineStr">
        <is>
          <t>Confirm source file version each quarter.</t>
        </is>
      </c>
    </row>
    <row r="3">
      <c r="A3" s="2" t="inlineStr">
        <is>
          <t>PDF attachments</t>
        </is>
      </c>
      <c r="B3" s="2" t="inlineStr">
        <is>
          <t>Scan_260717_102740.pdf and Scan_260717_102947.pdf are present but no longer used in the optimizer.</t>
        </is>
      </c>
      <c r="C3" s="2" t="inlineStr">
        <is>
          <t>Keep or remove from source archive.</t>
        </is>
      </c>
    </row>
    <row r="4">
      <c r="A4" s="2" t="inlineStr">
        <is>
          <t>Return source</t>
        </is>
      </c>
      <c r="B4" s="2" t="inlineStr">
        <is>
          <t>Compound return only.</t>
        </is>
      </c>
      <c r="C4" s="2" t="inlineStr">
        <is>
          <t>Confirm this remains the preferred expected return basis.</t>
        </is>
      </c>
    </row>
    <row r="5">
      <c r="A5" s="2" t="inlineStr">
        <is>
          <t>Risk model</t>
        </is>
      </c>
      <c r="B5" s="2" t="inlineStr">
        <is>
          <t>Uses annualized volatility and correlation matrix from matrix-usd.xlsx.</t>
        </is>
      </c>
      <c r="C5" s="2" t="inlineStr">
        <is>
          <t>Review asset mappings for grouped fixed income sleeves.</t>
        </is>
      </c>
    </row>
    <row r="6">
      <c r="A6" s="2" t="inlineStr">
        <is>
          <t>Monte Carlo</t>
        </is>
      </c>
      <c r="B6" s="2" t="inlineStr">
        <is>
          <t>Removed from all calculations for now.</t>
        </is>
      </c>
      <c r="C6" s="2" t="inlineStr">
        <is>
          <t>Redesign simulation methodology before adding it back.</t>
        </is>
      </c>
    </row>
    <row r="7">
      <c r="A7" s="2" t="inlineStr">
        <is>
          <t>Five portfolios</t>
        </is>
      </c>
      <c r="B7" s="2" t="inlineStr">
        <is>
          <t>Category bands and target volatility ranges are explicit on Constraints tab; cash is hard-coded with both minimum and maximum at 1% in every model.</t>
        </is>
      </c>
      <c r="C7" s="2" t="inlineStr">
        <is>
          <t>Approve or revise the equity/fixed income/alternatives policy bands and target volatility bands.</t>
        </is>
      </c>
    </row>
    <row r="8">
      <c r="A8" s="2" t="inlineStr">
        <is>
          <t>Tax/location</t>
        </is>
      </c>
      <c r="B8" s="2" t="inlineStr">
        <is>
          <t>Not modeled.</t>
        </is>
      </c>
      <c r="C8" s="2" t="inlineStr">
        <is>
          <t>Decide taxable vs qualified account treatment, muni bond role, and tax-aware placement.</t>
        </is>
      </c>
    </row>
    <row r="9">
      <c r="A9" s="2" t="inlineStr">
        <is>
          <t>Liquidity/implementation</t>
        </is>
      </c>
      <c r="B9" s="2" t="inlineStr">
        <is>
          <t>No ETF/mutual fund tickers selected yet.</t>
        </is>
      </c>
      <c r="C9" s="2" t="inlineStr">
        <is>
          <t>Map each style sleeve to actual funds and expense ratios.</t>
        </is>
      </c>
    </row>
    <row r="10">
      <c r="A10" s="2" t="inlineStr">
        <is>
          <t>Rebalancing</t>
        </is>
      </c>
      <c r="B10" s="2" t="inlineStr">
        <is>
          <t>Not modeled.</t>
        </is>
      </c>
      <c r="C10" s="2" t="inlineStr">
        <is>
          <t>Choose annual, semiannual, or tolerance-band rebalancing.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2026-07-22T18:19:07Z</dcterms:created>
  <dcterms:modified xsi:type="dcterms:W3CDTF">2026-07-22T18:19:07Z</dcterms:modified>
</cp:coreProperties>
</file>